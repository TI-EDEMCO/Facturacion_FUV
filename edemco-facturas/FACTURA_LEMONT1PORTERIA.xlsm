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mp Tech\Desktop\macros_factura\"/>
    </mc:Choice>
  </mc:AlternateContent>
  <xr:revisionPtr revIDLastSave="0" documentId="13_ncr:1_{F2BBE21C-1CCA-49B4-B82D-D55089570A8A}" xr6:coauthVersionLast="36" xr6:coauthVersionMax="36" xr10:uidLastSave="{00000000-0000-0000-0000-000000000000}"/>
  <bookViews>
    <workbookView xWindow="0" yWindow="0" windowWidth="24000" windowHeight="9405" tabRatio="789" activeTab="1" xr2:uid="{97B622EB-0C47-4D02-AD4F-870D2580F108}"/>
  </bookViews>
  <sheets>
    <sheet name="LEMONTPORT_GRAPHICS" sheetId="6" r:id="rId1"/>
    <sheet name="LEMONT1PORTERIA" sheetId="12" r:id="rId2"/>
  </sheets>
  <definedNames>
    <definedName name="Print_Area" localSheetId="1">LEMONT1PORTERIA!$A$1:$J$48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6" l="1"/>
  <c r="P16" i="6"/>
  <c r="Q16" i="6"/>
  <c r="R16" i="6"/>
  <c r="O17" i="6"/>
  <c r="P17" i="6"/>
  <c r="Q17" i="6"/>
  <c r="R17" i="6"/>
  <c r="O18" i="6"/>
  <c r="P18" i="6"/>
  <c r="Q18" i="6"/>
  <c r="R18" i="6"/>
  <c r="O19" i="6"/>
  <c r="P19" i="6"/>
  <c r="Q19" i="6"/>
  <c r="R19" i="6"/>
  <c r="O20" i="6"/>
  <c r="P20" i="6"/>
  <c r="Q20" i="6"/>
  <c r="R20" i="6"/>
  <c r="O21" i="6"/>
  <c r="P21" i="6"/>
  <c r="Q21" i="6"/>
  <c r="R21" i="6"/>
  <c r="C3" i="6" l="1"/>
</calcChain>
</file>

<file path=xl/sharedStrings.xml><?xml version="1.0" encoding="utf-8"?>
<sst xmlns="http://schemas.openxmlformats.org/spreadsheetml/2006/main" count="42" uniqueCount="42">
  <si>
    <t>Generación
acumulada</t>
  </si>
  <si>
    <t>VALOR kWh</t>
  </si>
  <si>
    <t>Valor total</t>
  </si>
  <si>
    <t>Tarifa OR</t>
  </si>
  <si>
    <t>Tarifa Edemco</t>
  </si>
  <si>
    <t>diferencia tarifa</t>
  </si>
  <si>
    <t>Ahorro actual</t>
  </si>
  <si>
    <t>Ahorro acumulado</t>
  </si>
  <si>
    <t>Ahorro CO2</t>
  </si>
  <si>
    <t>Acumulado CO2</t>
  </si>
  <si>
    <t>EPM</t>
  </si>
  <si>
    <t>CEN</t>
  </si>
  <si>
    <t>AHORRO</t>
  </si>
  <si>
    <t>Fecha Ini</t>
  </si>
  <si>
    <t>Fecha Fin</t>
  </si>
  <si>
    <t>Dias consumo</t>
  </si>
  <si>
    <t>Consumo Actual</t>
  </si>
  <si>
    <t>Consumo Acumulado</t>
  </si>
  <si>
    <t>Concepto Facturado</t>
  </si>
  <si>
    <t>Cantidad</t>
  </si>
  <si>
    <t>Costo unidad</t>
  </si>
  <si>
    <t>Valor Total</t>
  </si>
  <si>
    <t>Fecha de Pago</t>
  </si>
  <si>
    <t>Factura Mes</t>
  </si>
  <si>
    <t>Factura No</t>
  </si>
  <si>
    <t>Contrato No</t>
  </si>
  <si>
    <t>Ahorro Actual</t>
  </si>
  <si>
    <t>Ahorro Acumulado</t>
  </si>
  <si>
    <t>Periodo Actual</t>
  </si>
  <si>
    <t>Periodo Acumulado</t>
  </si>
  <si>
    <t>CUFE</t>
  </si>
  <si>
    <t>Fecha CUFE</t>
  </si>
  <si>
    <t>Generación</t>
  </si>
  <si>
    <t>Lemont Salón Social</t>
  </si>
  <si>
    <t>Negrita == importante</t>
  </si>
  <si>
    <t>CUFEASDASD4654F65SA1555D</t>
  </si>
  <si>
    <t>Ene-24</t>
  </si>
  <si>
    <t>Abr-24</t>
  </si>
  <si>
    <t>Concepto2</t>
  </si>
  <si>
    <t>2023-02</t>
  </si>
  <si>
    <t>FACT_002</t>
  </si>
  <si>
    <t>CONT_002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</si>
</sst>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&quot;$&quot;\ * #,##0_-;\-&quot;$&quot;\ * #,##0_-;_-&quot;$&quot;\ * &quot;-&quot;??_-;_-@_-"/>
    <numFmt numFmtId="166" formatCode="_-* #,##0_-;\-* #,##0_-;_-* &quot;-&quot;??_-;_-@_-"/>
    <numFmt numFmtId="167" formatCode="&quot;$&quot;\ #,##0.00"/>
    <numFmt numFmtId="168" formatCode="mmm\ yyyy"/>
    <numFmt numFmtId="169" formatCode="_-* #,##0.0_-;\-* #,##0.0_-;_-* &quot;-&quot;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"/>
      <color theme="1"/>
      <name val="Arial"/>
      <family val="2"/>
    </font>
    <font>
      <b/>
      <sz val="8.5"/>
      <color theme="1"/>
      <name val="Trebuchet MS"/>
      <family val="2"/>
    </font>
    <font>
      <b/>
      <sz val="12.5"/>
      <color theme="1"/>
      <name val="Trebuchet MS"/>
      <family val="2"/>
    </font>
    <font>
      <sz val="7.5"/>
      <color theme="1"/>
      <name val="Trebuchet MS"/>
      <family val="2"/>
    </font>
    <font>
      <sz val="12.8"/>
      <color theme="1"/>
      <name val="Trebuchet MS"/>
      <family val="2"/>
    </font>
    <font>
      <b/>
      <sz val="9"/>
      <color theme="1"/>
      <name val="Trebuchet MS"/>
      <family val="2"/>
    </font>
    <font>
      <b/>
      <sz val="8"/>
      <color theme="1"/>
      <name val="Trebuchet MS"/>
      <family val="2"/>
    </font>
    <font>
      <b/>
      <sz val="12"/>
      <color theme="1"/>
      <name val="Trebuchet MS"/>
      <family val="2"/>
    </font>
    <font>
      <sz val="8.3000000000000007"/>
      <color theme="1"/>
      <name val="Trebuchet MS"/>
      <family val="2"/>
    </font>
    <font>
      <sz val="10"/>
      <color theme="0"/>
      <name val="Trebuchet MS"/>
      <family val="2"/>
    </font>
    <font>
      <sz val="12"/>
      <color theme="1"/>
      <name val="Trebuchet MS"/>
      <family val="2"/>
    </font>
    <font>
      <sz val="7.5"/>
      <color rgb="FF22362C"/>
      <name val="Trebuchet MS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165" fontId="0" fillId="0" borderId="1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41" fontId="0" fillId="0" borderId="0" xfId="2" applyFont="1"/>
    <xf numFmtId="167" fontId="0" fillId="0" borderId="1" xfId="0" applyNumberFormat="1" applyBorder="1"/>
    <xf numFmtId="169" fontId="0" fillId="0" borderId="0" xfId="0" applyNumberFormat="1"/>
    <xf numFmtId="0" fontId="3" fillId="0" borderId="0" xfId="0" applyFont="1"/>
    <xf numFmtId="164" fontId="0" fillId="0" borderId="0" xfId="0" applyNumberFormat="1"/>
    <xf numFmtId="164" fontId="0" fillId="0" borderId="1" xfId="1" applyNumberFormat="1" applyFont="1" applyFill="1" applyBorder="1"/>
    <xf numFmtId="166" fontId="0" fillId="0" borderId="1" xfId="1" applyNumberFormat="1" applyFont="1" applyFill="1" applyBorder="1"/>
    <xf numFmtId="0" fontId="2" fillId="2" borderId="2" xfId="0" applyFont="1" applyFill="1" applyBorder="1" applyAlignment="1">
      <alignment horizontal="center"/>
    </xf>
    <xf numFmtId="165" fontId="0" fillId="0" borderId="0" xfId="0" applyNumberFormat="1"/>
    <xf numFmtId="165" fontId="3" fillId="4" borderId="1" xfId="0" applyNumberFormat="1" applyFont="1" applyFill="1" applyBorder="1"/>
    <xf numFmtId="0" fontId="0" fillId="3" borderId="0" xfId="0" applyFill="1"/>
    <xf numFmtId="0" fontId="3" fillId="3" borderId="0" xfId="0" applyFont="1" applyFill="1"/>
    <xf numFmtId="0" fontId="4" fillId="0" borderId="0" xfId="0" applyFont="1" applyAlignment="1">
      <alignment horizontal="left" vertical="center" indent="1"/>
    </xf>
    <xf numFmtId="14" fontId="5" fillId="0" borderId="0" xfId="0" applyNumberFormat="1" applyFont="1"/>
    <xf numFmtId="0" fontId="7" fillId="0" borderId="0" xfId="0" applyNumberFormat="1" applyFont="1"/>
    <xf numFmtId="0" fontId="9" fillId="0" borderId="0" xfId="0" applyNumberFormat="1" applyFont="1"/>
    <xf numFmtId="0" fontId="10" fillId="0" borderId="0" xfId="0" applyNumberFormat="1" applyFont="1"/>
    <xf numFmtId="14" fontId="12" fillId="0" borderId="0" xfId="0" applyNumberFormat="1" applyFont="1"/>
    <xf numFmtId="14" fontId="13" fillId="3" borderId="0" xfId="0" applyNumberFormat="1" applyFont="1" applyFill="1"/>
    <xf numFmtId="0" fontId="14" fillId="0" borderId="0" xfId="0" applyNumberFormat="1" applyFont="1"/>
    <xf numFmtId="0" fontId="15" fillId="0" borderId="0" xfId="0" applyFont="1"/>
    <xf numFmtId="0" fontId="0" fillId="0" borderId="0" xfId="0" applyAlignment="1">
      <alignment horizontal="center"/>
    </xf>
    <xf numFmtId="1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7" fontId="8" fillId="0" borderId="0" xfId="0" applyNumberFormat="1" applyFont="1"/>
    <xf numFmtId="167" fontId="7" fillId="0" borderId="0" xfId="0" applyNumberFormat="1" applyFont="1"/>
    <xf numFmtId="4" fontId="7" fillId="0" borderId="0" xfId="0" applyNumberFormat="1" applyFont="1"/>
    <xf numFmtId="4" fontId="6" fillId="0" borderId="0" xfId="0" applyNumberFormat="1" applyFont="1"/>
    <xf numFmtId="167" fontId="11" fillId="0" borderId="0" xfId="0" applyNumberFormat="1" applyFont="1"/>
    <xf numFmtId="4" fontId="11" fillId="0" borderId="0" xfId="0" applyNumberFormat="1" applyFont="1"/>
  </cellXfs>
  <cellStyles count="6">
    <cellStyle name="Millares" xfId="1" builtinId="3"/>
    <cellStyle name="Millares [0]" xfId="2" builtinId="6"/>
    <cellStyle name="Millares [0] 2" xfId="5" xr:uid="{DF053EFB-4EEE-4063-AE9D-5901B899946F}"/>
    <cellStyle name="Millares 2" xfId="4" xr:uid="{DC3977F5-8F4B-427A-BCD7-C6B8358AC4F8}"/>
    <cellStyle name="Millares 3" xfId="3" xr:uid="{93706AC7-A2BC-4CEE-A212-2D4811D8A5E7}"/>
    <cellStyle name="Normal" xfId="0" builtinId="0"/>
  </cellStyles>
  <dxfs count="0"/>
  <tableStyles count="0" defaultTableStyle="TableStyleMedium2" defaultPivotStyle="PivotStyleLight16"/>
  <colors>
    <mruColors>
      <color rgb="FF34523B"/>
      <color rgb="FF273C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19" Type="http://schemas.microsoft.com/office/2017/10/relationships/person" Target="persons/person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sz="1100" b="1" i="0" baseline="0"/>
              <a:t>Histórico Consumo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LEMONTPORT_GRAPHICS!$B$6:$B$11</c:f>
              <c:strCache>
                <c:ptCount val="6"/>
                <c:pt idx="0">
                  <c:v>Ene-24</c:v>
                </c:pt>
                <c:pt idx="1">
                  <c:v>feb-24</c:v>
                </c:pt>
                <c:pt idx="2">
                  <c:v>mar-24</c:v>
                </c:pt>
                <c:pt idx="3">
                  <c:v>Abr-24</c:v>
                </c:pt>
                <c:pt idx="4">
                  <c:v>may-24</c:v>
                </c:pt>
                <c:pt idx="5">
                  <c:v>jun-24</c:v>
                </c:pt>
              </c:strCache>
            </c:strRef>
          </c:cat>
          <c:val>
            <c:numRef>
              <c:f>LEMONTPORT_GRAPHICS!$C$6:$C$11</c:f>
              <c:numCache>
                <c:formatCode>_-* #,##0.0_-;\-* #,##0.0_-;_-* "-"??_-;_-@_-</c:formatCode>
                <c:ptCount val="6"/>
                <c:pt idx="0">
                  <c:v>1796</c:v>
                </c:pt>
                <c:pt idx="1">
                  <c:v>1599.39995</c:v>
                </c:pt>
                <c:pt idx="2">
                  <c:v>1733.0998999999999</c:v>
                </c:pt>
                <c:pt idx="3">
                  <c:v>1506.7001</c:v>
                </c:pt>
                <c:pt idx="4">
                  <c:v>1426.39996</c:v>
                </c:pt>
                <c:pt idx="5">
                  <c:v>1486.4000599999999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8-441F-B581-FF6DEED4E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200469039"/>
        <c:axId val="1529954735"/>
      </c:barChart>
      <c:catAx>
        <c:axId val="1200469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Mes</a:t>
                </a:r>
              </a:p>
            </c:rich>
          </c:tx>
          <c:layout>
            <c:manualLayout>
              <c:xMode val="edge"/>
              <c:yMode val="edge"/>
              <c:x val="0.45482726821309505"/>
              <c:y val="0.83275505779303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954735"/>
        <c:crosses val="autoZero"/>
        <c:auto val="1"/>
        <c:lblAlgn val="ctr"/>
        <c:lblOffset val="100"/>
        <c:noMultiLvlLbl val="1"/>
      </c:catAx>
      <c:valAx>
        <c:axId val="1529954735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bg1">
                      <a:lumMod val="6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cap="none" baseline="0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0046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100" b="1" i="0" baseline="0"/>
              <a:t>Comparativo Tarifas / Ahorro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6635274389349555"/>
          <c:y val="0.21934312942433412"/>
          <c:w val="0.68719623821338993"/>
          <c:h val="0.520031494077811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LEMONTPORT_GRAPHICS!$P$15</c:f>
              <c:strCache>
                <c:ptCount val="1"/>
                <c:pt idx="0">
                  <c:v>EPM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LEMONTPORT_GRAPHICS!$O$16:$O$21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LEMONTPORT_GRAPHICS!$P$16:$P$21</c:f>
              <c:numCache>
                <c:formatCode>General</c:formatCode>
                <c:ptCount val="6"/>
                <c:pt idx="0">
                  <c:v>1009</c:v>
                </c:pt>
                <c:pt idx="1">
                  <c:v>974.72</c:v>
                </c:pt>
                <c:pt idx="2">
                  <c:v>990.84</c:v>
                </c:pt>
                <c:pt idx="3">
                  <c:v>1009.04</c:v>
                </c:pt>
                <c:pt idx="4">
                  <c:v>1062.3599999999999</c:v>
                </c:pt>
                <c:pt idx="5">
                  <c:v>941.82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E-4D3F-97D7-7DE242BAE161}"/>
            </c:ext>
          </c:extLst>
        </c:ser>
        <c:ser>
          <c:idx val="1"/>
          <c:order val="1"/>
          <c:tx>
            <c:strRef>
              <c:f>LEMONTPORT_GRAPHICS!$Q$15</c:f>
              <c:strCache>
                <c:ptCount val="1"/>
                <c:pt idx="0">
                  <c:v>CEN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LEMONTPORT_GRAPHICS!$O$16:$O$21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LEMONTPORT_GRAPHICS!$Q$16:$Q$21</c:f>
              <c:numCache>
                <c:formatCode>General</c:formatCode>
                <c:ptCount val="6"/>
                <c:pt idx="0">
                  <c:v>512.75615765004261</c:v>
                </c:pt>
                <c:pt idx="1">
                  <c:v>512.75615765004261</c:v>
                </c:pt>
                <c:pt idx="2">
                  <c:v>512.75615765004261</c:v>
                </c:pt>
                <c:pt idx="3">
                  <c:v>512.75615765004261</c:v>
                </c:pt>
                <c:pt idx="4">
                  <c:v>512.75615765004261</c:v>
                </c:pt>
                <c:pt idx="5">
                  <c:v>512.75615765004261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79807"/>
        <c:axId val="2030475407"/>
      </c:barChart>
      <c:lineChart>
        <c:grouping val="standard"/>
        <c:varyColors val="0"/>
        <c:ser>
          <c:idx val="2"/>
          <c:order val="2"/>
          <c:tx>
            <c:strRef>
              <c:f>LEMONTPORT_GRAPHICS!$R$15</c:f>
              <c:strCache>
                <c:ptCount val="1"/>
                <c:pt idx="0">
                  <c:v>AHORRO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LEMONTPORT_GRAPHICS!$O$16:$O$21</c:f>
              <c:strCache>
                <c:ptCount val="6"/>
                <c:pt idx="0">
                  <c:v>Ene-24</c:v>
                </c:pt>
                <c:pt idx="1">
                  <c:v>feb 2024</c:v>
                </c:pt>
                <c:pt idx="2">
                  <c:v>mar 2024</c:v>
                </c:pt>
                <c:pt idx="3">
                  <c:v>Abr-24</c:v>
                </c:pt>
                <c:pt idx="4">
                  <c:v>may 2024</c:v>
                </c:pt>
                <c:pt idx="5">
                  <c:v>jun 2024</c:v>
                </c:pt>
              </c:strCache>
            </c:strRef>
          </c:cat>
          <c:val>
            <c:numRef>
              <c:f>LEMONTPORT_GRAPHICS!$R$16:$R$21</c:f>
              <c:numCache>
                <c:formatCode>"$"\ #,##0.00</c:formatCode>
                <c:ptCount val="6"/>
                <c:pt idx="0">
                  <c:v>891253.94086052349</c:v>
                </c:pt>
                <c:pt idx="1">
                  <c:v>738864.94635632972</c:v>
                </c:pt>
                <c:pt idx="2">
                  <c:v>828567.05936832691</c:v>
                </c:pt>
                <c:pt idx="3">
                  <c:v>747750.91489706503</c:v>
                </c:pt>
                <c:pt idx="4">
                  <c:v>783954.89874382538</c:v>
                </c:pt>
                <c:pt idx="5">
                  <c:v>637760.52101280726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D3F-97D7-7DE242BAE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643231"/>
        <c:axId val="2030476847"/>
      </c:lineChart>
      <c:catAx>
        <c:axId val="130679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0475407"/>
        <c:crosses val="autoZero"/>
        <c:auto val="1"/>
        <c:lblAlgn val="ctr"/>
        <c:lblOffset val="100"/>
        <c:noMultiLvlLbl val="1"/>
      </c:catAx>
      <c:valAx>
        <c:axId val="20304754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1">
                      <a:lumMod val="42000"/>
                      <a:lumOff val="58000"/>
                    </a:schemeClr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700" b="1" i="0" baseline="0"/>
                  <a:t>Pesos</a:t>
                </a:r>
              </a:p>
            </c:rich>
          </c:tx>
          <c:layout>
            <c:manualLayout>
              <c:xMode val="edge"/>
              <c:yMode val="edge"/>
              <c:x val="4.210855785152191E-3"/>
              <c:y val="0.369843605953189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0679807"/>
        <c:crosses val="autoZero"/>
        <c:crossBetween val="between"/>
      </c:valAx>
      <c:valAx>
        <c:axId val="2030476847"/>
        <c:scaling>
          <c:orientation val="minMax"/>
        </c:scaling>
        <c:delete val="0"/>
        <c:axPos val="r"/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4643231"/>
        <c:crosses val="max"/>
        <c:crossBetween val="between"/>
      </c:valAx>
      <c:catAx>
        <c:axId val="1924643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047684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849642089328172"/>
          <c:y val="0.88680679189213485"/>
          <c:w val="0.63459702725047984"/>
          <c:h val="8.6948143264989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>
          <a:alpha val="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0</xdr:rowOff>
    </xdr:from>
    <xdr:to>
      <xdr:col>9</xdr:col>
      <xdr:colOff>47625</xdr:colOff>
      <xdr:row>50</xdr:row>
      <xdr:rowOff>9525</xdr:rowOff>
    </xdr:to>
    <xdr:pic>
      <xdr:nvPicPr>
        <xdr:cNvPr id="31" name="bg object 16">
          <a:extLst>
            <a:ext uri="{FF2B5EF4-FFF2-40B4-BE49-F238E27FC236}">
              <a16:creationId xmlns:a16="http://schemas.microsoft.com/office/drawing/2014/main" id="{BE5DD954-CAAC-421D-BC96-EBCE185172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0"/>
          <a:ext cx="6882848" cy="9534525"/>
        </a:xfrm>
        <a:prstGeom prst="rect">
          <a:avLst/>
        </a:prstGeom>
      </xdr:spPr>
    </xdr:pic>
    <xdr:clientData/>
  </xdr:twoCellAnchor>
  <xdr:twoCellAnchor>
    <xdr:from>
      <xdr:col>0</xdr:col>
      <xdr:colOff>100850</xdr:colOff>
      <xdr:row>7</xdr:row>
      <xdr:rowOff>47003</xdr:rowOff>
    </xdr:from>
    <xdr:to>
      <xdr:col>4</xdr:col>
      <xdr:colOff>285000</xdr:colOff>
      <xdr:row>8</xdr:row>
      <xdr:rowOff>102248</xdr:rowOff>
    </xdr:to>
    <xdr:sp macro="" textlink="">
      <xdr:nvSpPr>
        <xdr:cNvPr id="3" name="object 2">
          <a:extLst>
            <a:ext uri="{FF2B5EF4-FFF2-40B4-BE49-F238E27FC236}">
              <a16:creationId xmlns:a16="http://schemas.microsoft.com/office/drawing/2014/main" id="{D69F1BF6-52EA-49C1-A53A-2F14D1A2FE2C}"/>
            </a:ext>
          </a:extLst>
        </xdr:cNvPr>
        <xdr:cNvSpPr txBox="1"/>
      </xdr:nvSpPr>
      <xdr:spPr>
        <a:xfrm>
          <a:off x="100850" y="1327163"/>
          <a:ext cx="3354070" cy="238125"/>
        </a:xfrm>
        <a:prstGeom prst="rect">
          <a:avLst/>
        </a:prstGeom>
        <a:solidFill>
          <a:srgbClr val="2E463A"/>
        </a:solidFill>
      </xdr:spPr>
      <xdr:txBody>
        <a:bodyPr vert="horz" wrap="square" lIns="0" tIns="4635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898525">
            <a:lnSpc>
              <a:spcPct val="100000"/>
            </a:lnSpc>
            <a:spcBef>
              <a:spcPts val="365"/>
            </a:spcBef>
          </a:pPr>
          <a:r>
            <a:rPr sz="950" b="1" spc="20">
              <a:solidFill>
                <a:srgbClr val="FFFFFF"/>
              </a:solidFill>
              <a:latin typeface="Trebuchet MS"/>
              <a:cs typeface="Trebuchet MS"/>
            </a:rPr>
            <a:t>Resumen</a:t>
          </a:r>
          <a:r>
            <a:rPr sz="950" b="1" spc="-5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de</a:t>
          </a:r>
          <a:r>
            <a:rPr sz="950" b="1" spc="-3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FFFFFF"/>
              </a:solidFill>
              <a:latin typeface="Trebuchet MS"/>
              <a:cs typeface="Trebuchet MS"/>
            </a:rPr>
            <a:t>Facturación</a:t>
          </a:r>
          <a:endParaRPr sz="9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92293</xdr:colOff>
      <xdr:row>8</xdr:row>
      <xdr:rowOff>86382</xdr:rowOff>
    </xdr:from>
    <xdr:to>
      <xdr:col>1</xdr:col>
      <xdr:colOff>748861</xdr:colOff>
      <xdr:row>9</xdr:row>
      <xdr:rowOff>85397</xdr:rowOff>
    </xdr:to>
    <xdr:sp macro="" textlink="">
      <xdr:nvSpPr>
        <xdr:cNvPr id="4" name="object 3">
          <a:extLst>
            <a:ext uri="{FF2B5EF4-FFF2-40B4-BE49-F238E27FC236}">
              <a16:creationId xmlns:a16="http://schemas.microsoft.com/office/drawing/2014/main" id="{AAEAD0C4-1308-4DA7-914F-30C5B56CF08E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92293" y="1610382"/>
          <a:ext cx="1418568" cy="18951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Periodo</a:t>
          </a:r>
          <a:r>
            <a:rPr sz="95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5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950" b="1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Facturación: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411137</xdr:colOff>
      <xdr:row>12</xdr:row>
      <xdr:rowOff>27114</xdr:rowOff>
    </xdr:from>
    <xdr:to>
      <xdr:col>2</xdr:col>
      <xdr:colOff>135547</xdr:colOff>
      <xdr:row>14</xdr:row>
      <xdr:rowOff>130619</xdr:rowOff>
    </xdr:to>
    <xdr:sp macro="" textlink="">
      <xdr:nvSpPr>
        <xdr:cNvPr id="5" name="object 4">
          <a:extLst>
            <a:ext uri="{FF2B5EF4-FFF2-40B4-BE49-F238E27FC236}">
              <a16:creationId xmlns:a16="http://schemas.microsoft.com/office/drawing/2014/main" id="{275DEC24-2470-4AB6-9C99-9CA40C55DC6E}"/>
            </a:ext>
          </a:extLst>
        </xdr:cNvPr>
        <xdr:cNvSpPr/>
      </xdr:nvSpPr>
      <xdr:spPr>
        <a:xfrm>
          <a:off x="411137" y="2221674"/>
          <a:ext cx="1309370" cy="469265"/>
        </a:xfrm>
        <a:custGeom>
          <a:avLst/>
          <a:gdLst/>
          <a:ahLst/>
          <a:cxnLst/>
          <a:rect l="l" t="t" r="r" b="b"/>
          <a:pathLst>
            <a:path w="1248410" h="484504">
              <a:moveTo>
                <a:pt x="0" y="484124"/>
              </a:moveTo>
              <a:lnTo>
                <a:pt x="1248371" y="484124"/>
              </a:lnTo>
              <a:lnTo>
                <a:pt x="1248371" y="0"/>
              </a:lnTo>
              <a:lnTo>
                <a:pt x="0" y="0"/>
              </a:lnTo>
              <a:lnTo>
                <a:pt x="0" y="484124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417042</xdr:colOff>
      <xdr:row>12</xdr:row>
      <xdr:rowOff>19707</xdr:rowOff>
    </xdr:from>
    <xdr:to>
      <xdr:col>2</xdr:col>
      <xdr:colOff>130022</xdr:colOff>
      <xdr:row>13</xdr:row>
      <xdr:rowOff>44894</xdr:rowOff>
    </xdr:to>
    <xdr:sp macro="" textlink="">
      <xdr:nvSpPr>
        <xdr:cNvPr id="6" name="object 5">
          <a:extLst>
            <a:ext uri="{FF2B5EF4-FFF2-40B4-BE49-F238E27FC236}">
              <a16:creationId xmlns:a16="http://schemas.microsoft.com/office/drawing/2014/main" id="{64ACEB3C-E755-4883-A310-6558E845A3BC}"/>
            </a:ext>
          </a:extLst>
        </xdr:cNvPr>
        <xdr:cNvSpPr txBox="1"/>
      </xdr:nvSpPr>
      <xdr:spPr>
        <a:xfrm>
          <a:off x="417042" y="2305707"/>
          <a:ext cx="1236980" cy="215687"/>
        </a:xfrm>
        <a:prstGeom prst="rect">
          <a:avLst/>
        </a:prstGeom>
        <a:solidFill>
          <a:srgbClr val="7BAE5F"/>
        </a:solidFill>
      </xdr:spPr>
      <xdr:txBody>
        <a:bodyPr vert="horz" wrap="square" lIns="0" tIns="2730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43840">
            <a:lnSpc>
              <a:spcPct val="100000"/>
            </a:lnSpc>
            <a:spcBef>
              <a:spcPts val="21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207822</xdr:colOff>
      <xdr:row>12</xdr:row>
      <xdr:rowOff>27063</xdr:rowOff>
    </xdr:from>
    <xdr:to>
      <xdr:col>3</xdr:col>
      <xdr:colOff>694232</xdr:colOff>
      <xdr:row>14</xdr:row>
      <xdr:rowOff>131203</xdr:rowOff>
    </xdr:to>
    <xdr:sp macro="" textlink="">
      <xdr:nvSpPr>
        <xdr:cNvPr id="7" name="object 6">
          <a:extLst>
            <a:ext uri="{FF2B5EF4-FFF2-40B4-BE49-F238E27FC236}">
              <a16:creationId xmlns:a16="http://schemas.microsoft.com/office/drawing/2014/main" id="{36CCBFE4-9344-45A9-AD96-0B36F74EDB10}"/>
            </a:ext>
          </a:extLst>
        </xdr:cNvPr>
        <xdr:cNvSpPr/>
      </xdr:nvSpPr>
      <xdr:spPr>
        <a:xfrm>
          <a:off x="1792782" y="2221623"/>
          <a:ext cx="1278890" cy="469900"/>
        </a:xfrm>
        <a:custGeom>
          <a:avLst/>
          <a:gdLst/>
          <a:ahLst/>
          <a:cxnLst/>
          <a:rect l="l" t="t" r="r" b="b"/>
          <a:pathLst>
            <a:path w="1248410" h="485139">
              <a:moveTo>
                <a:pt x="0" y="485063"/>
              </a:moveTo>
              <a:lnTo>
                <a:pt x="1248371" y="485063"/>
              </a:lnTo>
              <a:lnTo>
                <a:pt x="1248371" y="0"/>
              </a:lnTo>
              <a:lnTo>
                <a:pt x="0" y="0"/>
              </a:lnTo>
              <a:lnTo>
                <a:pt x="0" y="485063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2</xdr:col>
      <xdr:colOff>213728</xdr:colOff>
      <xdr:row>12</xdr:row>
      <xdr:rowOff>32845</xdr:rowOff>
    </xdr:from>
    <xdr:to>
      <xdr:col>3</xdr:col>
      <xdr:colOff>688708</xdr:colOff>
      <xdr:row>13</xdr:row>
      <xdr:rowOff>46113</xdr:rowOff>
    </xdr:to>
    <xdr:sp macro="" textlink="">
      <xdr:nvSpPr>
        <xdr:cNvPr id="8" name="object 7">
          <a:extLst>
            <a:ext uri="{FF2B5EF4-FFF2-40B4-BE49-F238E27FC236}">
              <a16:creationId xmlns:a16="http://schemas.microsoft.com/office/drawing/2014/main" id="{16CC9862-5DE4-4881-A460-A28D13646242}"/>
            </a:ext>
          </a:extLst>
        </xdr:cNvPr>
        <xdr:cNvSpPr txBox="1"/>
      </xdr:nvSpPr>
      <xdr:spPr>
        <a:xfrm>
          <a:off x="1737728" y="2318845"/>
          <a:ext cx="1236980" cy="203768"/>
        </a:xfrm>
        <a:prstGeom prst="rect">
          <a:avLst/>
        </a:prstGeom>
        <a:solidFill>
          <a:srgbClr val="7BAE5F"/>
        </a:solidFill>
      </xdr:spPr>
      <xdr:txBody>
        <a:bodyPr vert="horz" wrap="square" lIns="0" tIns="2857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33350">
            <a:lnSpc>
              <a:spcPct val="100000"/>
            </a:lnSpc>
            <a:spcBef>
              <a:spcPts val="225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Consumo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376392</xdr:colOff>
      <xdr:row>13</xdr:row>
      <xdr:rowOff>30290</xdr:rowOff>
    </xdr:from>
    <xdr:to>
      <xdr:col>1</xdr:col>
      <xdr:colOff>652924</xdr:colOff>
      <xdr:row>14</xdr:row>
      <xdr:rowOff>137949</xdr:rowOff>
    </xdr:to>
    <xdr:sp macro="" textlink="$O$55">
      <xdr:nvSpPr>
        <xdr:cNvPr id="9" name="object 19">
          <a:extLst>
            <a:ext uri="{FF2B5EF4-FFF2-40B4-BE49-F238E27FC236}">
              <a16:creationId xmlns:a16="http://schemas.microsoft.com/office/drawing/2014/main" id="{2139CEC2-67C7-41DA-B620-9A8573E11C51}"/>
            </a:ext>
          </a:extLst>
        </xdr:cNvPr>
        <xdr:cNvSpPr txBox="1"/>
      </xdr:nvSpPr>
      <xdr:spPr>
        <a:xfrm>
          <a:off x="376392" y="2526762"/>
          <a:ext cx="1036996" cy="299695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26E46A58-D7DA-42D0-85D9-CCC27E23911B}" type="TxLink">
            <a:rPr lang="en-US" sz="110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1.546.523,45</a:t>
          </a:fld>
          <a:endParaRPr sz="110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78048</xdr:colOff>
      <xdr:row>15</xdr:row>
      <xdr:rowOff>93216</xdr:rowOff>
    </xdr:from>
    <xdr:to>
      <xdr:col>4</xdr:col>
      <xdr:colOff>290138</xdr:colOff>
      <xdr:row>23</xdr:row>
      <xdr:rowOff>163701</xdr:rowOff>
    </xdr:to>
    <xdr:sp macro="" textlink="">
      <xdr:nvSpPr>
        <xdr:cNvPr id="10" name="object 20">
          <a:extLst>
            <a:ext uri="{FF2B5EF4-FFF2-40B4-BE49-F238E27FC236}">
              <a16:creationId xmlns:a16="http://schemas.microsoft.com/office/drawing/2014/main" id="{1B0CD705-4AC4-464F-AD59-B46C1FB71BB1}"/>
            </a:ext>
          </a:extLst>
        </xdr:cNvPr>
        <xdr:cNvSpPr/>
      </xdr:nvSpPr>
      <xdr:spPr>
        <a:xfrm>
          <a:off x="78048" y="2836416"/>
          <a:ext cx="3382010" cy="1533525"/>
        </a:xfrm>
        <a:custGeom>
          <a:avLst/>
          <a:gdLst/>
          <a:ahLst/>
          <a:cxnLst/>
          <a:rect l="l" t="t" r="r" b="b"/>
          <a:pathLst>
            <a:path w="3260090" h="1594485">
              <a:moveTo>
                <a:pt x="0" y="1594168"/>
              </a:moveTo>
              <a:lnTo>
                <a:pt x="6127" y="1594168"/>
              </a:lnTo>
            </a:path>
            <a:path w="3260090" h="1594485">
              <a:moveTo>
                <a:pt x="3259665" y="0"/>
              </a:moveTo>
              <a:lnTo>
                <a:pt x="0" y="0"/>
              </a:lnTo>
              <a:lnTo>
                <a:pt x="0" y="1594168"/>
              </a:lnTo>
            </a:path>
          </a:pathLst>
        </a:custGeom>
        <a:ln w="7033">
          <a:solidFill>
            <a:srgbClr val="D9D9D9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0</xdr:col>
      <xdr:colOff>240937</xdr:colOff>
      <xdr:row>24</xdr:row>
      <xdr:rowOff>13938</xdr:rowOff>
    </xdr:from>
    <xdr:to>
      <xdr:col>3</xdr:col>
      <xdr:colOff>328450</xdr:colOff>
      <xdr:row>25</xdr:row>
      <xdr:rowOff>11118</xdr:rowOff>
    </xdr:to>
    <xdr:sp macro="" textlink="">
      <xdr:nvSpPr>
        <xdr:cNvPr id="11" name="object 21">
          <a:extLst>
            <a:ext uri="{FF2B5EF4-FFF2-40B4-BE49-F238E27FC236}">
              <a16:creationId xmlns:a16="http://schemas.microsoft.com/office/drawing/2014/main" id="{E1DBB948-EDB7-425A-9B2D-08A166950E43}"/>
            </a:ext>
          </a:extLst>
        </xdr:cNvPr>
        <xdr:cNvSpPr txBox="1"/>
      </xdr:nvSpPr>
      <xdr:spPr>
        <a:xfrm>
          <a:off x="240937" y="4585938"/>
          <a:ext cx="2373513" cy="187680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Concepto</a:t>
          </a:r>
          <a:r>
            <a:rPr sz="8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Facturado:</a:t>
          </a:r>
          <a:r>
            <a:rPr lang="es-CO" sz="750" spc="5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233756</xdr:colOff>
      <xdr:row>28</xdr:row>
      <xdr:rowOff>84854</xdr:rowOff>
    </xdr:from>
    <xdr:to>
      <xdr:col>0</xdr:col>
      <xdr:colOff>737946</xdr:colOff>
      <xdr:row>29</xdr:row>
      <xdr:rowOff>48024</xdr:rowOff>
    </xdr:to>
    <xdr:sp macro="" textlink="">
      <xdr:nvSpPr>
        <xdr:cNvPr id="14" name="object 24">
          <a:extLst>
            <a:ext uri="{FF2B5EF4-FFF2-40B4-BE49-F238E27FC236}">
              <a16:creationId xmlns:a16="http://schemas.microsoft.com/office/drawing/2014/main" id="{8BFDFB75-6305-4BCD-8761-8AF51FCF8239}"/>
            </a:ext>
          </a:extLst>
        </xdr:cNvPr>
        <xdr:cNvSpPr txBox="1"/>
      </xdr:nvSpPr>
      <xdr:spPr>
        <a:xfrm>
          <a:off x="233756" y="5418854"/>
          <a:ext cx="504190" cy="153670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Cantidad: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714375</xdr:colOff>
      <xdr:row>28</xdr:row>
      <xdr:rowOff>50811</xdr:rowOff>
    </xdr:from>
    <xdr:to>
      <xdr:col>1</xdr:col>
      <xdr:colOff>660605</xdr:colOff>
      <xdr:row>29</xdr:row>
      <xdr:rowOff>23692</xdr:rowOff>
    </xdr:to>
    <xdr:sp macro="" textlink="$O$58">
      <xdr:nvSpPr>
        <xdr:cNvPr id="15" name="object 25">
          <a:extLst>
            <a:ext uri="{FF2B5EF4-FFF2-40B4-BE49-F238E27FC236}">
              <a16:creationId xmlns:a16="http://schemas.microsoft.com/office/drawing/2014/main" id="{ADD5F30E-D92C-4C02-9CA2-640F617B5E84}"/>
            </a:ext>
          </a:extLst>
        </xdr:cNvPr>
        <xdr:cNvSpPr txBox="1"/>
      </xdr:nvSpPr>
      <xdr:spPr>
        <a:xfrm>
          <a:off x="714375" y="5427827"/>
          <a:ext cx="706694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fld id="{47C1EE14-6A30-4FF7-AFC5-18D0C2601C65}" type="TxLink">
            <a:rPr lang="en-US" sz="1000" b="1" i="0" u="none" strike="noStrike" spc="1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25"/>
              </a:spcBef>
            </a:pPr>
            <a:t>1.598,43</a:t>
          </a:fld>
          <a:endParaRPr sz="10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227187</xdr:colOff>
      <xdr:row>29</xdr:row>
      <xdr:rowOff>53910</xdr:rowOff>
    </xdr:from>
    <xdr:to>
      <xdr:col>1</xdr:col>
      <xdr:colOff>177362</xdr:colOff>
      <xdr:row>29</xdr:row>
      <xdr:rowOff>190294</xdr:rowOff>
    </xdr:to>
    <xdr:sp macro="" textlink="">
      <xdr:nvSpPr>
        <xdr:cNvPr id="16" name="object 26">
          <a:extLst>
            <a:ext uri="{FF2B5EF4-FFF2-40B4-BE49-F238E27FC236}">
              <a16:creationId xmlns:a16="http://schemas.microsoft.com/office/drawing/2014/main" id="{CD286C1C-0C35-4F18-B6FA-16DA8318121C}"/>
            </a:ext>
          </a:extLst>
        </xdr:cNvPr>
        <xdr:cNvSpPr txBox="1"/>
      </xdr:nvSpPr>
      <xdr:spPr>
        <a:xfrm>
          <a:off x="227187" y="5578410"/>
          <a:ext cx="712175" cy="136384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Costo</a:t>
          </a:r>
          <a:r>
            <a:rPr sz="8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Unidad: </a:t>
          </a:r>
          <a:endParaRPr sz="1050" baseline="3968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168758</xdr:colOff>
      <xdr:row>31</xdr:row>
      <xdr:rowOff>127419</xdr:rowOff>
    </xdr:from>
    <xdr:to>
      <xdr:col>2</xdr:col>
      <xdr:colOff>537702</xdr:colOff>
      <xdr:row>32</xdr:row>
      <xdr:rowOff>132873</xdr:rowOff>
    </xdr:to>
    <xdr:sp macro="" textlink="">
      <xdr:nvSpPr>
        <xdr:cNvPr id="17" name="object 27">
          <a:extLst>
            <a:ext uri="{FF2B5EF4-FFF2-40B4-BE49-F238E27FC236}">
              <a16:creationId xmlns:a16="http://schemas.microsoft.com/office/drawing/2014/main" id="{2C749B35-6303-4F55-9ACE-95F660565139}"/>
            </a:ext>
            <a:ext uri="{147F2762-F138-4A5C-976F-8EAC2B608ADB}">
              <a16:predDERef xmlns:a16="http://schemas.microsoft.com/office/drawing/2014/main" pred="{CD286C1C-0C35-4F18-B6FA-16DA8318121C}"/>
            </a:ext>
          </a:extLst>
        </xdr:cNvPr>
        <xdr:cNvSpPr txBox="1"/>
      </xdr:nvSpPr>
      <xdr:spPr>
        <a:xfrm>
          <a:off x="168758" y="6080544"/>
          <a:ext cx="1889871" cy="19749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628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54305">
            <a:lnSpc>
              <a:spcPct val="100000"/>
            </a:lnSpc>
            <a:spcBef>
              <a:spcPts val="495"/>
            </a:spcBef>
            <a:tabLst>
              <a:tab pos="936625" algn="l"/>
            </a:tabLst>
          </a:pPr>
          <a:r>
            <a:rPr sz="900" b="1" u="none" spc="10">
              <a:solidFill>
                <a:srgbClr val="2E463A"/>
              </a:solidFill>
              <a:latin typeface="Trebuchet MS"/>
              <a:cs typeface="Trebuchet MS"/>
            </a:rPr>
            <a:t>Valor</a:t>
          </a:r>
          <a:r>
            <a:rPr sz="900" b="1" u="none" spc="3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900" b="1" u="none" spc="5">
              <a:solidFill>
                <a:srgbClr val="2E463A"/>
              </a:solidFill>
              <a:latin typeface="Trebuchet MS"/>
              <a:cs typeface="Trebuchet MS"/>
            </a:rPr>
            <a:t>Total:	</a:t>
          </a:r>
          <a:endParaRPr sz="1275" u="none" baseline="3267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105841</xdr:colOff>
      <xdr:row>31</xdr:row>
      <xdr:rowOff>65697</xdr:rowOff>
    </xdr:from>
    <xdr:to>
      <xdr:col>4</xdr:col>
      <xdr:colOff>448741</xdr:colOff>
      <xdr:row>33</xdr:row>
      <xdr:rowOff>45983</xdr:rowOff>
    </xdr:to>
    <xdr:sp macro="" textlink="">
      <xdr:nvSpPr>
        <xdr:cNvPr id="18" name="object 28">
          <a:extLst>
            <a:ext uri="{FF2B5EF4-FFF2-40B4-BE49-F238E27FC236}">
              <a16:creationId xmlns:a16="http://schemas.microsoft.com/office/drawing/2014/main" id="{EDBAB973-10EA-4D6F-B1E4-4E16AADDCA1F}"/>
            </a:ext>
          </a:extLst>
        </xdr:cNvPr>
        <xdr:cNvSpPr txBox="1"/>
      </xdr:nvSpPr>
      <xdr:spPr>
        <a:xfrm>
          <a:off x="2391841" y="5971197"/>
          <a:ext cx="1104900" cy="361286"/>
        </a:xfrm>
        <a:prstGeom prst="rect">
          <a:avLst/>
        </a:prstGeom>
        <a:solidFill>
          <a:srgbClr val="7BAE5F"/>
        </a:solidFill>
      </xdr:spPr>
      <xdr:txBody>
        <a:bodyPr vert="horz" wrap="square" lIns="0" tIns="4064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10185">
            <a:lnSpc>
              <a:spcPct val="100000"/>
            </a:lnSpc>
            <a:spcBef>
              <a:spcPts val="320"/>
            </a:spcBef>
          </a:pP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510591</xdr:colOff>
      <xdr:row>39</xdr:row>
      <xdr:rowOff>157594</xdr:rowOff>
    </xdr:from>
    <xdr:to>
      <xdr:col>4</xdr:col>
      <xdr:colOff>273736</xdr:colOff>
      <xdr:row>40</xdr:row>
      <xdr:rowOff>90919</xdr:rowOff>
    </xdr:to>
    <xdr:sp macro="" textlink="">
      <xdr:nvSpPr>
        <xdr:cNvPr id="19" name="object 29">
          <a:extLst>
            <a:ext uri="{FF2B5EF4-FFF2-40B4-BE49-F238E27FC236}">
              <a16:creationId xmlns:a16="http://schemas.microsoft.com/office/drawing/2014/main" id="{03BC6042-4EE8-4789-9E7D-ED4C761BA7F7}"/>
            </a:ext>
          </a:extLst>
        </xdr:cNvPr>
        <xdr:cNvSpPr txBox="1"/>
      </xdr:nvSpPr>
      <xdr:spPr>
        <a:xfrm>
          <a:off x="2095551" y="7289914"/>
          <a:ext cx="1348105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CAROLINA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ANDREA</a:t>
          </a:r>
          <a:r>
            <a:rPr sz="650" b="1" spc="10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MEJÍA</a:t>
          </a:r>
          <a:r>
            <a:rPr sz="650" b="1" spc="-5">
              <a:solidFill>
                <a:srgbClr val="7BAE5F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7BAE5F"/>
              </a:solidFill>
              <a:latin typeface="Trebuchet MS"/>
              <a:cs typeface="Trebuchet MS"/>
            </a:rPr>
            <a:t>MATOS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516432</xdr:colOff>
      <xdr:row>40</xdr:row>
      <xdr:rowOff>67043</xdr:rowOff>
    </xdr:from>
    <xdr:to>
      <xdr:col>3</xdr:col>
      <xdr:colOff>571676</xdr:colOff>
      <xdr:row>41</xdr:row>
      <xdr:rowOff>368</xdr:rowOff>
    </xdr:to>
    <xdr:sp macro="" textlink="">
      <xdr:nvSpPr>
        <xdr:cNvPr id="20" name="object 30">
          <a:extLst>
            <a:ext uri="{FF2B5EF4-FFF2-40B4-BE49-F238E27FC236}">
              <a16:creationId xmlns:a16="http://schemas.microsoft.com/office/drawing/2014/main" id="{5BA953C7-AE12-45B0-9E8C-7AE3AF99C478}"/>
            </a:ext>
          </a:extLst>
        </xdr:cNvPr>
        <xdr:cNvSpPr txBox="1"/>
      </xdr:nvSpPr>
      <xdr:spPr>
        <a:xfrm>
          <a:off x="2101392" y="7382243"/>
          <a:ext cx="847724" cy="11620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Representante</a:t>
          </a:r>
          <a:r>
            <a:rPr sz="650" b="1" spc="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650" b="1" spc="-10">
              <a:solidFill>
                <a:srgbClr val="2E463A"/>
              </a:solidFill>
              <a:latin typeface="Trebuchet MS"/>
              <a:cs typeface="Trebuchet MS"/>
            </a:rPr>
            <a:t>Legal</a:t>
          </a:r>
          <a:endParaRPr sz="6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82492</xdr:colOff>
      <xdr:row>45</xdr:row>
      <xdr:rowOff>129318</xdr:rowOff>
    </xdr:from>
    <xdr:to>
      <xdr:col>4</xdr:col>
      <xdr:colOff>371417</xdr:colOff>
      <xdr:row>46</xdr:row>
      <xdr:rowOff>84533</xdr:rowOff>
    </xdr:to>
    <xdr:sp macro="" textlink="">
      <xdr:nvSpPr>
        <xdr:cNvPr id="21" name="object 31">
          <a:extLst>
            <a:ext uri="{FF2B5EF4-FFF2-40B4-BE49-F238E27FC236}">
              <a16:creationId xmlns:a16="http://schemas.microsoft.com/office/drawing/2014/main" id="{910E4C62-4016-4554-99CD-90FC0B5FD1A3}"/>
            </a:ext>
          </a:extLst>
        </xdr:cNvPr>
        <xdr:cNvSpPr txBox="1"/>
      </xdr:nvSpPr>
      <xdr:spPr>
        <a:xfrm>
          <a:off x="82492" y="8701818"/>
          <a:ext cx="3336925" cy="14571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 conformidad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el Decreto</a:t>
          </a:r>
          <a:r>
            <a:rPr sz="75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2150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1995,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la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firma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mecánica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que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aparece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este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495097</xdr:colOff>
      <xdr:row>46</xdr:row>
      <xdr:rowOff>35295</xdr:rowOff>
    </xdr:from>
    <xdr:to>
      <xdr:col>3</xdr:col>
      <xdr:colOff>652577</xdr:colOff>
      <xdr:row>46</xdr:row>
      <xdr:rowOff>168980</xdr:rowOff>
    </xdr:to>
    <xdr:sp macro="" textlink="">
      <xdr:nvSpPr>
        <xdr:cNvPr id="22" name="object 32">
          <a:extLst>
            <a:ext uri="{FF2B5EF4-FFF2-40B4-BE49-F238E27FC236}">
              <a16:creationId xmlns:a16="http://schemas.microsoft.com/office/drawing/2014/main" id="{301A2B42-D129-42A4-8714-6A23C07C05BC}"/>
            </a:ext>
          </a:extLst>
        </xdr:cNvPr>
        <xdr:cNvSpPr txBox="1"/>
      </xdr:nvSpPr>
      <xdr:spPr>
        <a:xfrm>
          <a:off x="495097" y="8447775"/>
          <a:ext cx="2534920" cy="133685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95"/>
            </a:spcBef>
          </a:pP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documento</a:t>
          </a:r>
          <a:r>
            <a:rPr sz="7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tiene plena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validez para</a:t>
          </a:r>
          <a:r>
            <a:rPr sz="7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todos</a:t>
          </a:r>
          <a:r>
            <a:rPr sz="7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efectos</a:t>
          </a:r>
          <a:r>
            <a:rPr sz="75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50" b="1" spc="-5">
              <a:solidFill>
                <a:srgbClr val="2E463A"/>
              </a:solidFill>
              <a:latin typeface="Calibri"/>
              <a:cs typeface="Calibri"/>
            </a:rPr>
            <a:t>legales.</a:t>
          </a:r>
          <a:endParaRPr sz="750"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97751</xdr:colOff>
      <xdr:row>34</xdr:row>
      <xdr:rowOff>24409</xdr:rowOff>
    </xdr:from>
    <xdr:to>
      <xdr:col>4</xdr:col>
      <xdr:colOff>449541</xdr:colOff>
      <xdr:row>37</xdr:row>
      <xdr:rowOff>143789</xdr:rowOff>
    </xdr:to>
    <xdr:sp macro="" textlink="">
      <xdr:nvSpPr>
        <xdr:cNvPr id="23" name="object 33">
          <a:extLst>
            <a:ext uri="{FF2B5EF4-FFF2-40B4-BE49-F238E27FC236}">
              <a16:creationId xmlns:a16="http://schemas.microsoft.com/office/drawing/2014/main" id="{7F32DD33-6665-406D-BAC7-757CF38ECAF3}"/>
            </a:ext>
          </a:extLst>
        </xdr:cNvPr>
        <xdr:cNvSpPr txBox="1"/>
      </xdr:nvSpPr>
      <xdr:spPr>
        <a:xfrm>
          <a:off x="97751" y="6501409"/>
          <a:ext cx="3399790" cy="690880"/>
        </a:xfrm>
        <a:prstGeom prst="rect">
          <a:avLst/>
        </a:prstGeom>
        <a:ln w="11810">
          <a:solidFill>
            <a:srgbClr val="7BAE5F"/>
          </a:solidFill>
        </a:ln>
      </xdr:spPr>
      <xdr:txBody>
        <a:bodyPr vert="horz" wrap="square" lIns="0" tIns="3429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07314" marR="95885" indent="-3175" algn="ctr">
            <a:lnSpc>
              <a:spcPct val="105000"/>
            </a:lnSpc>
            <a:spcBef>
              <a:spcPts val="270"/>
            </a:spcBef>
          </a:pP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presente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factura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presta</a:t>
          </a:r>
          <a:r>
            <a:rPr sz="9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mérito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ejecutivo</a:t>
          </a:r>
          <a:r>
            <a:rPr sz="900" b="1" spc="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en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virtud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del artículo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130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142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1994,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modificado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 artículo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18</a:t>
          </a:r>
          <a:r>
            <a:rPr sz="9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9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Ley </a:t>
          </a:r>
          <a:r>
            <a:rPr sz="900" b="1" spc="-19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689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2001. 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Sí el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pago es realizado en cheque, éste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debe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ser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girado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900" b="1" spc="10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favor </a:t>
          </a:r>
          <a:r>
            <a:rPr sz="900" b="1" spc="1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900" b="1" spc="5">
              <a:solidFill>
                <a:srgbClr val="2E463A"/>
              </a:solidFill>
              <a:latin typeface="Calibri"/>
              <a:cs typeface="Calibri"/>
            </a:rPr>
            <a:t> CEN S.A.S.</a:t>
          </a:r>
          <a:endParaRPr sz="9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562406</xdr:colOff>
      <xdr:row>31</xdr:row>
      <xdr:rowOff>138379</xdr:rowOff>
    </xdr:from>
    <xdr:to>
      <xdr:col>9</xdr:col>
      <xdr:colOff>29006</xdr:colOff>
      <xdr:row>35</xdr:row>
      <xdr:rowOff>82499</xdr:rowOff>
    </xdr:to>
    <xdr:sp macro="" textlink="">
      <xdr:nvSpPr>
        <xdr:cNvPr id="24" name="object 34">
          <a:extLst>
            <a:ext uri="{FF2B5EF4-FFF2-40B4-BE49-F238E27FC236}">
              <a16:creationId xmlns:a16="http://schemas.microsoft.com/office/drawing/2014/main" id="{6F118645-D733-45A9-81A7-CBA755D20FA6}"/>
            </a:ext>
          </a:extLst>
        </xdr:cNvPr>
        <xdr:cNvSpPr txBox="1"/>
      </xdr:nvSpPr>
      <xdr:spPr>
        <a:xfrm>
          <a:off x="3732326" y="5807659"/>
          <a:ext cx="3451860" cy="67564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</a:pPr>
          <a:endParaRPr sz="650">
            <a:latin typeface="Times New Roman"/>
            <a:cs typeface="Times New Roman"/>
          </a:endParaRPr>
        </a:p>
        <a:p>
          <a:pPr marL="152400">
            <a:lnSpc>
              <a:spcPct val="100000"/>
            </a:lnSpc>
          </a:pP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INSTRUCCIONES</a:t>
          </a:r>
          <a:r>
            <a:rPr sz="700" b="1" spc="-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PARA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50" b="1">
              <a:solidFill>
                <a:srgbClr val="2E463A"/>
              </a:solidFill>
              <a:latin typeface="Calibri"/>
              <a:cs typeface="Calibri"/>
            </a:rPr>
            <a:t>:</a:t>
          </a:r>
          <a:endParaRPr sz="750">
            <a:latin typeface="Calibri"/>
            <a:cs typeface="Calibri"/>
          </a:endParaRPr>
        </a:p>
        <a:p>
          <a:pPr marL="152400" marR="59690">
            <a:lnSpc>
              <a:spcPct val="101200"/>
            </a:lnSpc>
            <a:spcBef>
              <a:spcPts val="465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Pagos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Girar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cheque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 nombre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P.A.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FTP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700" b="1" spc="13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700" b="1" spc="14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700" b="1" spc="-14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instrucción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pagar</a:t>
          </a:r>
          <a:r>
            <a:rPr sz="70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al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primer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beneficiario.</a:t>
          </a:r>
          <a:endParaRPr sz="700">
            <a:latin typeface="Calibri"/>
            <a:cs typeface="Calibri"/>
          </a:endParaRPr>
        </a:p>
        <a:p>
          <a:pPr marL="198755" indent="-46990">
            <a:lnSpc>
              <a:spcPct val="100000"/>
            </a:lnSpc>
            <a:spcBef>
              <a:spcPts val="10"/>
            </a:spcBef>
            <a:buChar char="-"/>
            <a:tabLst>
              <a:tab pos="199390" algn="l"/>
            </a:tabLst>
          </a:pPr>
          <a:r>
            <a:rPr sz="700" b="1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transferencia</a:t>
          </a:r>
          <a:r>
            <a:rPr sz="7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/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Bancolombia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Cta.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7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 spc="-5">
              <a:solidFill>
                <a:srgbClr val="2E463A"/>
              </a:solidFill>
              <a:latin typeface="Calibri"/>
              <a:cs typeface="Calibri"/>
            </a:rPr>
            <a:t>Corriente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No. 245</a:t>
          </a:r>
          <a:r>
            <a:rPr sz="7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124422</a:t>
          </a:r>
          <a:r>
            <a:rPr sz="7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700" b="1">
              <a:solidFill>
                <a:srgbClr val="2E463A"/>
              </a:solidFill>
              <a:latin typeface="Calibri"/>
              <a:cs typeface="Calibri"/>
            </a:rPr>
            <a:t>51</a:t>
          </a:r>
          <a:endParaRPr sz="700"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568884</xdr:colOff>
      <xdr:row>35</xdr:row>
      <xdr:rowOff>145326</xdr:rowOff>
    </xdr:from>
    <xdr:to>
      <xdr:col>9</xdr:col>
      <xdr:colOff>36754</xdr:colOff>
      <xdr:row>40</xdr:row>
      <xdr:rowOff>75476</xdr:rowOff>
    </xdr:to>
    <xdr:sp macro="" textlink="">
      <xdr:nvSpPr>
        <xdr:cNvPr id="25" name="object 35">
          <a:extLst>
            <a:ext uri="{FF2B5EF4-FFF2-40B4-BE49-F238E27FC236}">
              <a16:creationId xmlns:a16="http://schemas.microsoft.com/office/drawing/2014/main" id="{95DB94F7-C470-4852-92C7-3DEFE8427400}"/>
            </a:ext>
          </a:extLst>
        </xdr:cNvPr>
        <xdr:cNvSpPr txBox="1"/>
      </xdr:nvSpPr>
      <xdr:spPr>
        <a:xfrm>
          <a:off x="3738804" y="6546126"/>
          <a:ext cx="3453130" cy="844550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31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5"/>
            </a:spcBef>
          </a:pPr>
          <a:endParaRPr sz="700">
            <a:latin typeface="Times New Roman"/>
            <a:cs typeface="Times New Roman"/>
          </a:endParaRPr>
        </a:p>
        <a:p>
          <a:pPr marL="102235" marR="113030">
            <a:lnSpc>
              <a:spcPct val="103600"/>
            </a:lnSpc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En cumplimiento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la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1231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2008,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modificada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Ley 1676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2013,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Empresa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dará por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aceptada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irrevocablemente 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(3)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días hábiles siguientes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su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recepción,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contrario,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rechazo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informará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través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mecanismo</a:t>
          </a:r>
          <a:r>
            <a:rPr sz="500" b="1" spc="3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electrónico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apropiado.</a:t>
          </a:r>
          <a:r>
            <a:rPr sz="50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pago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realizará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tenedor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legítimo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esta, en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vencimiento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por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neto que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resulte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los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descuentos</a:t>
          </a:r>
          <a:r>
            <a:rPr sz="500" b="1" spc="-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por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ley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y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contractuales.</a:t>
          </a:r>
          <a:endParaRPr sz="500">
            <a:latin typeface="Calibri"/>
            <a:cs typeface="Calibri"/>
          </a:endParaRPr>
        </a:p>
        <a:p>
          <a:pPr marL="102235" marR="142240">
            <a:lnSpc>
              <a:spcPct val="104000"/>
            </a:lnSpc>
            <a:spcBef>
              <a:spcPts val="350"/>
            </a:spcBef>
          </a:pPr>
          <a:r>
            <a:rPr sz="500" b="1">
              <a:solidFill>
                <a:srgbClr val="2E463A"/>
              </a:solidFill>
              <a:latin typeface="Calibri"/>
              <a:cs typeface="Calibri"/>
            </a:rPr>
            <a:t>Esta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factura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asemeja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una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letra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cambio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artículos 621,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773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y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774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Comercio.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Su pago 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posterior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a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la</a:t>
          </a:r>
          <a:r>
            <a:rPr sz="500" b="1" spc="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fecha límite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estipulada generará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interés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según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artículo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884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Código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Comercio.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Este</a:t>
          </a:r>
          <a:r>
            <a:rPr sz="50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título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valor</a:t>
          </a:r>
          <a:r>
            <a:rPr sz="50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es</a:t>
          </a:r>
          <a:r>
            <a:rPr sz="50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exigible ejecutivamente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acuerdo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con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el artículo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488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del Código</a:t>
          </a:r>
          <a:r>
            <a:rPr sz="50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 spc="5">
              <a:solidFill>
                <a:srgbClr val="2E463A"/>
              </a:solidFill>
              <a:latin typeface="Calibri"/>
              <a:cs typeface="Calibri"/>
            </a:rPr>
            <a:t>de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 Procedimiento</a:t>
          </a:r>
          <a:r>
            <a:rPr sz="500" b="1" spc="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00" b="1">
              <a:solidFill>
                <a:srgbClr val="2E463A"/>
              </a:solidFill>
              <a:latin typeface="Calibri"/>
              <a:cs typeface="Calibri"/>
            </a:rPr>
            <a:t>Civil.</a:t>
          </a:r>
          <a:endParaRPr sz="500"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599363</xdr:colOff>
      <xdr:row>0</xdr:row>
      <xdr:rowOff>6032</xdr:rowOff>
    </xdr:from>
    <xdr:to>
      <xdr:col>9</xdr:col>
      <xdr:colOff>29133</xdr:colOff>
      <xdr:row>40</xdr:row>
      <xdr:rowOff>62800</xdr:rowOff>
    </xdr:to>
    <xdr:grpSp>
      <xdr:nvGrpSpPr>
        <xdr:cNvPr id="26" name="object 36">
          <a:extLst>
            <a:ext uri="{FF2B5EF4-FFF2-40B4-BE49-F238E27FC236}">
              <a16:creationId xmlns:a16="http://schemas.microsoft.com/office/drawing/2014/main" id="{5290C654-B647-45EA-8DB1-468303173A1B}"/>
            </a:ext>
          </a:extLst>
        </xdr:cNvPr>
        <xdr:cNvGrpSpPr/>
      </xdr:nvGrpSpPr>
      <xdr:grpSpPr>
        <a:xfrm>
          <a:off x="2120290" y="6032"/>
          <a:ext cx="4783742" cy="7738220"/>
          <a:chOff x="2414142" y="893444"/>
          <a:chExt cx="4763770" cy="7676768"/>
        </a:xfrm>
      </xdr:grpSpPr>
      <xdr:sp macro="" textlink="">
        <xdr:nvSpPr>
          <xdr:cNvPr id="27" name="object 37">
            <a:extLst>
              <a:ext uri="{FF2B5EF4-FFF2-40B4-BE49-F238E27FC236}">
                <a16:creationId xmlns:a16="http://schemas.microsoft.com/office/drawing/2014/main" id="{F19AAC8C-9763-AA1D-AEE8-83BC33C83359}"/>
              </a:ext>
            </a:extLst>
          </xdr:cNvPr>
          <xdr:cNvSpPr/>
        </xdr:nvSpPr>
        <xdr:spPr>
          <a:xfrm>
            <a:off x="3901312" y="893444"/>
            <a:ext cx="3276600" cy="5963285"/>
          </a:xfrm>
          <a:custGeom>
            <a:avLst/>
            <a:gdLst/>
            <a:ahLst/>
            <a:cxnLst/>
            <a:rect l="l" t="t" r="r" b="b"/>
            <a:pathLst>
              <a:path w="3276600" h="5963284">
                <a:moveTo>
                  <a:pt x="0" y="5962776"/>
                </a:moveTo>
                <a:lnTo>
                  <a:pt x="3276473" y="5962776"/>
                </a:lnTo>
                <a:lnTo>
                  <a:pt x="3276473" y="0"/>
                </a:lnTo>
                <a:lnTo>
                  <a:pt x="0" y="0"/>
                </a:lnTo>
                <a:lnTo>
                  <a:pt x="0" y="5962776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pic>
        <xdr:nvPicPr>
          <xdr:cNvPr id="28" name="object 38">
            <a:extLst>
              <a:ext uri="{FF2B5EF4-FFF2-40B4-BE49-F238E27FC236}">
                <a16:creationId xmlns:a16="http://schemas.microsoft.com/office/drawing/2014/main" id="{6020B09A-9DCA-A83B-CBB6-7E91E8BCC09D}"/>
              </a:ext>
            </a:extLst>
          </xdr:cNvPr>
          <xdr:cNvPicPr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2414142" y="8132266"/>
            <a:ext cx="1136319" cy="437946"/>
          </a:xfrm>
          <a:prstGeom prst="rect">
            <a:avLst/>
          </a:prstGeom>
        </xdr:spPr>
      </xdr:pic>
      <xdr:sp macro="" textlink="">
        <xdr:nvSpPr>
          <xdr:cNvPr id="29" name="object 39">
            <a:extLst>
              <a:ext uri="{FF2B5EF4-FFF2-40B4-BE49-F238E27FC236}">
                <a16:creationId xmlns:a16="http://schemas.microsoft.com/office/drawing/2014/main" id="{C2667DC8-609F-1959-219E-51E129F7A4FD}"/>
              </a:ext>
            </a:extLst>
          </xdr:cNvPr>
          <xdr:cNvSpPr/>
        </xdr:nvSpPr>
        <xdr:spPr>
          <a:xfrm>
            <a:off x="4235703" y="2206015"/>
            <a:ext cx="1250950" cy="484505"/>
          </a:xfrm>
          <a:custGeom>
            <a:avLst/>
            <a:gdLst/>
            <a:ahLst/>
            <a:cxnLst/>
            <a:rect l="l" t="t" r="r" b="b"/>
            <a:pathLst>
              <a:path w="1250950" h="484505">
                <a:moveTo>
                  <a:pt x="0" y="484479"/>
                </a:moveTo>
                <a:lnTo>
                  <a:pt x="1250416" y="484479"/>
                </a:lnTo>
                <a:lnTo>
                  <a:pt x="1250416" y="0"/>
                </a:lnTo>
                <a:lnTo>
                  <a:pt x="0" y="0"/>
                </a:lnTo>
                <a:lnTo>
                  <a:pt x="0" y="484479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0" name="object 40">
            <a:extLst>
              <a:ext uri="{FF2B5EF4-FFF2-40B4-BE49-F238E27FC236}">
                <a16:creationId xmlns:a16="http://schemas.microsoft.com/office/drawing/2014/main" id="{E4C23C58-82E1-1D7F-31C2-EE454A137E80}"/>
              </a:ext>
            </a:extLst>
          </xdr:cNvPr>
          <xdr:cNvSpPr/>
        </xdr:nvSpPr>
        <xdr:spPr>
          <a:xfrm>
            <a:off x="4230877" y="2200554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4</xdr:col>
      <xdr:colOff>565200</xdr:colOff>
      <xdr:row>40</xdr:row>
      <xdr:rowOff>151497</xdr:rowOff>
    </xdr:from>
    <xdr:to>
      <xdr:col>9</xdr:col>
      <xdr:colOff>33070</xdr:colOff>
      <xdr:row>47</xdr:row>
      <xdr:rowOff>45982</xdr:rowOff>
    </xdr:to>
    <xdr:sp macro="" textlink="">
      <xdr:nvSpPr>
        <xdr:cNvPr id="32" name="object 42">
          <a:extLst>
            <a:ext uri="{FF2B5EF4-FFF2-40B4-BE49-F238E27FC236}">
              <a16:creationId xmlns:a16="http://schemas.microsoft.com/office/drawing/2014/main" id="{CA5C79DB-CA00-4182-B933-7ECAAADC4DE3}"/>
            </a:ext>
          </a:extLst>
        </xdr:cNvPr>
        <xdr:cNvSpPr txBox="1"/>
      </xdr:nvSpPr>
      <xdr:spPr>
        <a:xfrm>
          <a:off x="3613200" y="7771497"/>
          <a:ext cx="3304146" cy="1227985"/>
        </a:xfrm>
        <a:prstGeom prst="rect">
          <a:avLst/>
        </a:prstGeom>
        <a:ln w="11811">
          <a:solidFill>
            <a:srgbClr val="7BAE5F"/>
          </a:solidFill>
        </a:ln>
      </xdr:spPr>
      <xdr:txBody>
        <a:bodyPr vert="horz" wrap="square" lIns="0" tIns="571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45"/>
            </a:spcBef>
          </a:pPr>
          <a:endParaRPr sz="450">
            <a:latin typeface="Times New Roman"/>
            <a:cs typeface="Times New Roman"/>
          </a:endParaRPr>
        </a:p>
        <a:p>
          <a:pPr marL="105410">
            <a:lnSpc>
              <a:spcPct val="100000"/>
            </a:lnSpc>
          </a:pP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CEN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ENERGY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S.A.S.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E.S.P.  NIT. 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901094947-0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2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Carrera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52 No.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10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-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131 Medellín,</a:t>
          </a:r>
          <a:r>
            <a:rPr sz="550" b="1" spc="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Antioquia,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Colombia.</a:t>
          </a: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1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Contacto:</a:t>
          </a:r>
          <a:r>
            <a:rPr sz="550" b="1" spc="-2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+57</a:t>
          </a:r>
          <a:r>
            <a:rPr sz="550" b="1" spc="-2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(604)</a:t>
          </a:r>
          <a:r>
            <a:rPr sz="550" b="1" spc="-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4446500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30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Actividad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Económica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 Principal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3512</a:t>
          </a:r>
          <a:r>
            <a:rPr sz="550" b="1" spc="1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* Régimen</a:t>
          </a:r>
          <a:r>
            <a:rPr sz="550" b="1" spc="-5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Común</a:t>
          </a:r>
          <a:endParaRPr sz="550">
            <a:latin typeface="Calibri"/>
            <a:cs typeface="Calibri"/>
          </a:endParaRPr>
        </a:p>
        <a:p>
          <a:pPr>
            <a:lnSpc>
              <a:spcPct val="100000"/>
            </a:lnSpc>
            <a:spcBef>
              <a:spcPts val="25"/>
            </a:spcBef>
          </a:pPr>
          <a:endParaRPr sz="550">
            <a:latin typeface="Calibri"/>
            <a:cs typeface="Calibri"/>
          </a:endParaRP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Autorización Numeración de Facturación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No. 18764039136852 Rango desde FE1013 hasta FE2000</a:t>
          </a:r>
        </a:p>
        <a:p>
          <a:pPr marL="105410">
            <a:lnSpc>
              <a:spcPct val="100000"/>
            </a:lnSpc>
            <a:spcBef>
              <a:spcPts val="5"/>
            </a:spcBef>
          </a:pPr>
          <a:r>
            <a:rPr lang="es-CO" sz="550" b="1">
              <a:solidFill>
                <a:srgbClr val="2E463A"/>
              </a:solidFill>
              <a:latin typeface="+mn-lt"/>
              <a:cs typeface="Calibri"/>
            </a:rPr>
            <a:t>Vigencia desde el 04/11/2021 hasta el 04/11/2023</a:t>
          </a:r>
        </a:p>
        <a:p>
          <a:pPr marL="103505">
            <a:lnSpc>
              <a:spcPct val="100000"/>
            </a:lnSpc>
            <a:spcBef>
              <a:spcPts val="275"/>
            </a:spcBef>
          </a:pPr>
          <a:r>
            <a:rPr sz="825" b="1" baseline="-10101">
              <a:solidFill>
                <a:srgbClr val="2E463A"/>
              </a:solidFill>
              <a:latin typeface="Calibri"/>
              <a:cs typeface="Calibri"/>
            </a:rPr>
            <a:t>CUFE:   </a:t>
          </a:r>
          <a:r>
            <a:rPr sz="825" b="1" spc="30" baseline="-10101">
              <a:solidFill>
                <a:srgbClr val="2E463A"/>
              </a:solidFill>
              <a:latin typeface="Calibri"/>
              <a:cs typeface="Calibri"/>
            </a:rPr>
            <a:t> </a:t>
          </a:r>
          <a:endParaRPr sz="400">
            <a:latin typeface="Trebuchet MS"/>
            <a:cs typeface="Trebuchet MS"/>
          </a:endParaRPr>
        </a:p>
        <a:p>
          <a:pPr marL="103505">
            <a:lnSpc>
              <a:spcPct val="100000"/>
            </a:lnSpc>
            <a:spcBef>
              <a:spcPts val="125"/>
            </a:spcBef>
            <a:tabLst>
              <a:tab pos="965200" algn="l"/>
            </a:tabLst>
          </a:pPr>
          <a:r>
            <a:rPr sz="550" b="1">
              <a:solidFill>
                <a:srgbClr val="2E463A"/>
              </a:solidFill>
              <a:latin typeface="Calibri"/>
              <a:cs typeface="Calibri"/>
            </a:rPr>
            <a:t>Fecha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Aceptación</a:t>
          </a:r>
          <a:r>
            <a:rPr sz="550" b="1" spc="10">
              <a:solidFill>
                <a:srgbClr val="2E463A"/>
              </a:solidFill>
              <a:latin typeface="Calibri"/>
              <a:cs typeface="Calibri"/>
            </a:rPr>
            <a:t> </a:t>
          </a:r>
          <a:r>
            <a:rPr sz="550" b="1">
              <a:solidFill>
                <a:srgbClr val="2E463A"/>
              </a:solidFill>
              <a:latin typeface="Calibri"/>
              <a:cs typeface="Calibri"/>
            </a:rPr>
            <a:t>DIAN:</a:t>
          </a:r>
          <a:r>
            <a:rPr lang="es-CO" sz="550" b="1" baseline="0">
              <a:solidFill>
                <a:srgbClr val="2E463A"/>
              </a:solidFill>
              <a:latin typeface="Calibri"/>
              <a:cs typeface="Calibri"/>
            </a:rPr>
            <a:t>   </a:t>
          </a:r>
          <a:endParaRPr sz="825" baseline="5050">
            <a:solidFill>
              <a:srgbClr val="34523B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435915</xdr:colOff>
      <xdr:row>7</xdr:row>
      <xdr:rowOff>571</xdr:rowOff>
    </xdr:from>
    <xdr:to>
      <xdr:col>6</xdr:col>
      <xdr:colOff>336220</xdr:colOff>
      <xdr:row>7</xdr:row>
      <xdr:rowOff>147256</xdr:rowOff>
    </xdr:to>
    <xdr:sp macro="" textlink="">
      <xdr:nvSpPr>
        <xdr:cNvPr id="33" name="object 43">
          <a:extLst>
            <a:ext uri="{FF2B5EF4-FFF2-40B4-BE49-F238E27FC236}">
              <a16:creationId xmlns:a16="http://schemas.microsoft.com/office/drawing/2014/main" id="{0B5F08FC-027D-4973-93C0-1FF793F4BE7E}"/>
            </a:ext>
          </a:extLst>
        </xdr:cNvPr>
        <xdr:cNvSpPr txBox="1"/>
      </xdr:nvSpPr>
      <xdr:spPr>
        <a:xfrm>
          <a:off x="4398315" y="1280731"/>
          <a:ext cx="692785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</a:t>
          </a:r>
          <a:r>
            <a:rPr sz="800" b="1" spc="-5">
              <a:solidFill>
                <a:srgbClr val="FFFFFF"/>
              </a:solidFill>
              <a:latin typeface="Trebuchet MS"/>
              <a:cs typeface="Trebuchet MS"/>
            </a:rPr>
            <a:t>o</a:t>
          </a:r>
          <a:r>
            <a:rPr sz="800" b="1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688772</xdr:colOff>
      <xdr:row>6</xdr:row>
      <xdr:rowOff>171158</xdr:rowOff>
    </xdr:from>
    <xdr:to>
      <xdr:col>8</xdr:col>
      <xdr:colOff>426517</xdr:colOff>
      <xdr:row>9</xdr:row>
      <xdr:rowOff>89814</xdr:rowOff>
    </xdr:to>
    <xdr:grpSp>
      <xdr:nvGrpSpPr>
        <xdr:cNvPr id="34" name="object 44">
          <a:extLst>
            <a:ext uri="{FF2B5EF4-FFF2-40B4-BE49-F238E27FC236}">
              <a16:creationId xmlns:a16="http://schemas.microsoft.com/office/drawing/2014/main" id="{D28D497F-FB92-43D0-AD46-AEDE90E83FAF}"/>
            </a:ext>
          </a:extLst>
        </xdr:cNvPr>
        <xdr:cNvGrpSpPr/>
      </xdr:nvGrpSpPr>
      <xdr:grpSpPr>
        <a:xfrm>
          <a:off x="5251554" y="1323376"/>
          <a:ext cx="1258673" cy="494765"/>
          <a:chOff x="5551551" y="2201570"/>
          <a:chExt cx="1261745" cy="490156"/>
        </a:xfrm>
      </xdr:grpSpPr>
      <xdr:sp macro="" textlink="">
        <xdr:nvSpPr>
          <xdr:cNvPr id="35" name="object 45">
            <a:extLst>
              <a:ext uri="{FF2B5EF4-FFF2-40B4-BE49-F238E27FC236}">
                <a16:creationId xmlns:a16="http://schemas.microsoft.com/office/drawing/2014/main" id="{3A96B9AD-D9AA-7826-B04F-35045D904E91}"/>
              </a:ext>
            </a:extLst>
          </xdr:cNvPr>
          <xdr:cNvSpPr/>
        </xdr:nvSpPr>
        <xdr:spPr>
          <a:xfrm>
            <a:off x="5556377" y="2205951"/>
            <a:ext cx="1250950" cy="485775"/>
          </a:xfrm>
          <a:custGeom>
            <a:avLst/>
            <a:gdLst/>
            <a:ahLst/>
            <a:cxnLst/>
            <a:rect l="l" t="t" r="r" b="b"/>
            <a:pathLst>
              <a:path w="1250950" h="485775">
                <a:moveTo>
                  <a:pt x="0" y="485432"/>
                </a:moveTo>
                <a:lnTo>
                  <a:pt x="1250416" y="485432"/>
                </a:lnTo>
                <a:lnTo>
                  <a:pt x="1250416" y="0"/>
                </a:lnTo>
                <a:lnTo>
                  <a:pt x="0" y="0"/>
                </a:lnTo>
                <a:lnTo>
                  <a:pt x="0" y="485432"/>
                </a:lnTo>
                <a:close/>
              </a:path>
            </a:pathLst>
          </a:custGeom>
          <a:ln w="11811">
            <a:solidFill>
              <a:srgbClr val="7BAE5F"/>
            </a:solidFill>
          </a:ln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  <xdr:sp macro="" textlink="">
        <xdr:nvSpPr>
          <xdr:cNvPr id="36" name="object 46">
            <a:extLst>
              <a:ext uri="{FF2B5EF4-FFF2-40B4-BE49-F238E27FC236}">
                <a16:creationId xmlns:a16="http://schemas.microsoft.com/office/drawing/2014/main" id="{3DF79923-8B93-3B5A-3DD9-CF3670FA7192}"/>
              </a:ext>
            </a:extLst>
          </xdr:cNvPr>
          <xdr:cNvSpPr/>
        </xdr:nvSpPr>
        <xdr:spPr>
          <a:xfrm>
            <a:off x="5551551" y="2201570"/>
            <a:ext cx="1261745" cy="194310"/>
          </a:xfrm>
          <a:custGeom>
            <a:avLst/>
            <a:gdLst/>
            <a:ahLst/>
            <a:cxnLst/>
            <a:rect l="l" t="t" r="r" b="b"/>
            <a:pathLst>
              <a:path w="1261745" h="194310">
                <a:moveTo>
                  <a:pt x="1261249" y="0"/>
                </a:moveTo>
                <a:lnTo>
                  <a:pt x="0" y="0"/>
                </a:lnTo>
                <a:lnTo>
                  <a:pt x="0" y="194284"/>
                </a:lnTo>
                <a:lnTo>
                  <a:pt x="1261249" y="194284"/>
                </a:lnTo>
                <a:lnTo>
                  <a:pt x="1261249" y="0"/>
                </a:lnTo>
                <a:close/>
              </a:path>
            </a:pathLst>
          </a:custGeom>
          <a:solidFill>
            <a:srgbClr val="7BAE5F"/>
          </a:solidFill>
        </xdr:spPr>
        <xdr:txBody>
          <a:bodyPr wrap="square" lIns="0" tIns="0" rIns="0" bIns="0" rtlCol="0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/>
          </a:p>
        </xdr:txBody>
      </xdr:sp>
    </xdr:grpSp>
    <xdr:clientData/>
  </xdr:twoCellAnchor>
  <xdr:twoCellAnchor>
    <xdr:from>
      <xdr:col>7</xdr:col>
      <xdr:colOff>122224</xdr:colOff>
      <xdr:row>7</xdr:row>
      <xdr:rowOff>1460</xdr:rowOff>
    </xdr:from>
    <xdr:to>
      <xdr:col>8</xdr:col>
      <xdr:colOff>245414</xdr:colOff>
      <xdr:row>7</xdr:row>
      <xdr:rowOff>148145</xdr:rowOff>
    </xdr:to>
    <xdr:sp macro="" textlink="">
      <xdr:nvSpPr>
        <xdr:cNvPr id="37" name="object 47">
          <a:extLst>
            <a:ext uri="{FF2B5EF4-FFF2-40B4-BE49-F238E27FC236}">
              <a16:creationId xmlns:a16="http://schemas.microsoft.com/office/drawing/2014/main" id="{8CAA49CA-9BD7-44B1-960E-5158FA7115CC}"/>
            </a:ext>
          </a:extLst>
        </xdr:cNvPr>
        <xdr:cNvSpPr txBox="1"/>
      </xdr:nvSpPr>
      <xdr:spPr>
        <a:xfrm>
          <a:off x="5669584" y="1281620"/>
          <a:ext cx="915670" cy="146685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9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Ahorro</a:t>
          </a:r>
          <a:r>
            <a:rPr sz="800" b="1" spc="-30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358385</xdr:colOff>
      <xdr:row>8</xdr:row>
      <xdr:rowOff>32966</xdr:rowOff>
    </xdr:from>
    <xdr:to>
      <xdr:col>6</xdr:col>
      <xdr:colOff>503165</xdr:colOff>
      <xdr:row>9</xdr:row>
      <xdr:rowOff>35916</xdr:rowOff>
    </xdr:to>
    <xdr:sp macro="" textlink="">
      <xdr:nvSpPr>
        <xdr:cNvPr id="38" name="object 48">
          <a:extLst>
            <a:ext uri="{FF2B5EF4-FFF2-40B4-BE49-F238E27FC236}">
              <a16:creationId xmlns:a16="http://schemas.microsoft.com/office/drawing/2014/main" id="{16FF8AA3-AAAC-41FD-865B-DDDCD93A5EB0}"/>
            </a:ext>
          </a:extLst>
        </xdr:cNvPr>
        <xdr:cNvSpPr txBox="1"/>
      </xdr:nvSpPr>
      <xdr:spPr>
        <a:xfrm>
          <a:off x="4320785" y="1496006"/>
          <a:ext cx="937260" cy="185830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114"/>
            </a:spcBef>
          </a:pPr>
          <a:endParaRPr sz="120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722057</xdr:colOff>
      <xdr:row>8</xdr:row>
      <xdr:rowOff>33991</xdr:rowOff>
    </xdr:from>
    <xdr:to>
      <xdr:col>8</xdr:col>
      <xdr:colOff>437843</xdr:colOff>
      <xdr:row>9</xdr:row>
      <xdr:rowOff>13090</xdr:rowOff>
    </xdr:to>
    <xdr:sp macro="" textlink="$O$66">
      <xdr:nvSpPr>
        <xdr:cNvPr id="39" name="object 49">
          <a:extLst>
            <a:ext uri="{FF2B5EF4-FFF2-40B4-BE49-F238E27FC236}">
              <a16:creationId xmlns:a16="http://schemas.microsoft.com/office/drawing/2014/main" id="{2F8C3EB1-91F5-45DC-97EC-56E125309CB4}"/>
            </a:ext>
          </a:extLst>
        </xdr:cNvPr>
        <xdr:cNvSpPr txBox="1"/>
      </xdr:nvSpPr>
      <xdr:spPr>
        <a:xfrm>
          <a:off x="5284839" y="1570281"/>
          <a:ext cx="1236714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>
            <a:lnSpc>
              <a:spcPct val="100000"/>
            </a:lnSpc>
            <a:spcBef>
              <a:spcPts val="114"/>
            </a:spcBef>
          </a:pPr>
          <a:fld id="{7D117901-43A5-44E0-A517-4C67668F5779}" type="TxLink">
            <a:rPr lang="en-US" sz="1050" b="1" i="0" u="none" strike="noStrike" kern="1200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0" indent="0" algn="ctr" defTabSz="914400" rtl="0" eaLnBrk="1" latinLnBrk="0" hangingPunct="1">
              <a:lnSpc>
                <a:spcPct val="100000"/>
              </a:lnSpc>
              <a:spcBef>
                <a:spcPts val="114"/>
              </a:spcBef>
            </a:pPr>
            <a:t>$ 659.458,53</a:t>
          </a:fld>
          <a:endParaRPr sz="1050" b="1" kern="1200" spc="-7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128595</xdr:colOff>
      <xdr:row>27</xdr:row>
      <xdr:rowOff>126622</xdr:rowOff>
    </xdr:from>
    <xdr:to>
      <xdr:col>6</xdr:col>
      <xdr:colOff>636928</xdr:colOff>
      <xdr:row>30</xdr:row>
      <xdr:rowOff>42825</xdr:rowOff>
    </xdr:to>
    <xdr:sp macro="" textlink="">
      <xdr:nvSpPr>
        <xdr:cNvPr id="40" name="object 76">
          <a:extLst>
            <a:ext uri="{FF2B5EF4-FFF2-40B4-BE49-F238E27FC236}">
              <a16:creationId xmlns:a16="http://schemas.microsoft.com/office/drawing/2014/main" id="{AF5B6353-89FB-4F84-AAAE-627334EA7F0C}"/>
            </a:ext>
          </a:extLst>
        </xdr:cNvPr>
        <xdr:cNvSpPr/>
      </xdr:nvSpPr>
      <xdr:spPr>
        <a:xfrm>
          <a:off x="4090995" y="5064382"/>
          <a:ext cx="1300813" cy="464843"/>
        </a:xfrm>
        <a:custGeom>
          <a:avLst/>
          <a:gdLst/>
          <a:ahLst/>
          <a:cxnLst/>
          <a:rect l="l" t="t" r="r" b="b"/>
          <a:pathLst>
            <a:path w="1250314" h="485140">
              <a:moveTo>
                <a:pt x="0" y="484835"/>
              </a:moveTo>
              <a:lnTo>
                <a:pt x="1250061" y="484835"/>
              </a:lnTo>
              <a:lnTo>
                <a:pt x="1250061" y="0"/>
              </a:lnTo>
              <a:lnTo>
                <a:pt x="0" y="0"/>
              </a:lnTo>
              <a:lnTo>
                <a:pt x="0" y="484835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5</xdr:col>
      <xdr:colOff>124626</xdr:colOff>
      <xdr:row>27</xdr:row>
      <xdr:rowOff>121680</xdr:rowOff>
    </xdr:from>
    <xdr:to>
      <xdr:col>6</xdr:col>
      <xdr:colOff>644865</xdr:colOff>
      <xdr:row>28</xdr:row>
      <xdr:rowOff>125304</xdr:rowOff>
    </xdr:to>
    <xdr:sp macro="" textlink="">
      <xdr:nvSpPr>
        <xdr:cNvPr id="41" name="object 77">
          <a:extLst>
            <a:ext uri="{FF2B5EF4-FFF2-40B4-BE49-F238E27FC236}">
              <a16:creationId xmlns:a16="http://schemas.microsoft.com/office/drawing/2014/main" id="{2B497CE9-A3FA-40C1-BB93-909C41CAE9F9}"/>
            </a:ext>
          </a:extLst>
        </xdr:cNvPr>
        <xdr:cNvSpPr/>
      </xdr:nvSpPr>
      <xdr:spPr>
        <a:xfrm>
          <a:off x="3934626" y="5265180"/>
          <a:ext cx="1282239" cy="19412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4284"/>
              </a:lnTo>
              <a:lnTo>
                <a:pt x="1261249" y="194284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/>
        </a:p>
      </xdr:txBody>
    </xdr:sp>
    <xdr:clientData/>
  </xdr:twoCellAnchor>
  <xdr:twoCellAnchor>
    <xdr:from>
      <xdr:col>6</xdr:col>
      <xdr:colOff>710218</xdr:colOff>
      <xdr:row>27</xdr:row>
      <xdr:rowOff>126561</xdr:rowOff>
    </xdr:from>
    <xdr:to>
      <xdr:col>8</xdr:col>
      <xdr:colOff>424466</xdr:colOff>
      <xdr:row>30</xdr:row>
      <xdr:rowOff>43992</xdr:rowOff>
    </xdr:to>
    <xdr:sp macro="" textlink="">
      <xdr:nvSpPr>
        <xdr:cNvPr id="42" name="object 78">
          <a:extLst>
            <a:ext uri="{FF2B5EF4-FFF2-40B4-BE49-F238E27FC236}">
              <a16:creationId xmlns:a16="http://schemas.microsoft.com/office/drawing/2014/main" id="{687FB9D8-3DB1-4570-9939-55FDD4ED31CA}"/>
            </a:ext>
          </a:extLst>
        </xdr:cNvPr>
        <xdr:cNvSpPr/>
      </xdr:nvSpPr>
      <xdr:spPr>
        <a:xfrm>
          <a:off x="5465098" y="5064321"/>
          <a:ext cx="1299208" cy="466071"/>
        </a:xfrm>
        <a:custGeom>
          <a:avLst/>
          <a:gdLst/>
          <a:ahLst/>
          <a:cxnLst/>
          <a:rect l="l" t="t" r="r" b="b"/>
          <a:pathLst>
            <a:path w="1250315" h="486409">
              <a:moveTo>
                <a:pt x="0" y="485787"/>
              </a:moveTo>
              <a:lnTo>
                <a:pt x="1250061" y="485787"/>
              </a:lnTo>
              <a:lnTo>
                <a:pt x="1250061" y="0"/>
              </a:lnTo>
              <a:lnTo>
                <a:pt x="0" y="0"/>
              </a:lnTo>
              <a:lnTo>
                <a:pt x="0" y="485787"/>
              </a:lnTo>
              <a:close/>
            </a:path>
          </a:pathLst>
        </a:custGeom>
        <a:ln w="11811">
          <a:solidFill>
            <a:srgbClr val="7BAE5F"/>
          </a:solidFill>
        </a:ln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6</xdr:col>
      <xdr:colOff>706249</xdr:colOff>
      <xdr:row>27</xdr:row>
      <xdr:rowOff>122638</xdr:rowOff>
    </xdr:from>
    <xdr:to>
      <xdr:col>8</xdr:col>
      <xdr:colOff>432403</xdr:colOff>
      <xdr:row>28</xdr:row>
      <xdr:rowOff>126262</xdr:rowOff>
    </xdr:to>
    <xdr:sp macro="" textlink="">
      <xdr:nvSpPr>
        <xdr:cNvPr id="43" name="object 79">
          <a:extLst>
            <a:ext uri="{FF2B5EF4-FFF2-40B4-BE49-F238E27FC236}">
              <a16:creationId xmlns:a16="http://schemas.microsoft.com/office/drawing/2014/main" id="{303F0244-1F39-4EC2-B094-C6A09FFC0F69}"/>
            </a:ext>
          </a:extLst>
        </xdr:cNvPr>
        <xdr:cNvSpPr/>
      </xdr:nvSpPr>
      <xdr:spPr>
        <a:xfrm>
          <a:off x="5461129" y="5060398"/>
          <a:ext cx="1311114" cy="186504"/>
        </a:xfrm>
        <a:custGeom>
          <a:avLst/>
          <a:gdLst/>
          <a:ahLst/>
          <a:cxnLst/>
          <a:rect l="l" t="t" r="r" b="b"/>
          <a:pathLst>
            <a:path w="1261745" h="194310">
              <a:moveTo>
                <a:pt x="1261249" y="0"/>
              </a:moveTo>
              <a:lnTo>
                <a:pt x="0" y="0"/>
              </a:lnTo>
              <a:lnTo>
                <a:pt x="0" y="193928"/>
              </a:lnTo>
              <a:lnTo>
                <a:pt x="1261249" y="193928"/>
              </a:lnTo>
              <a:lnTo>
                <a:pt x="1261249" y="0"/>
              </a:lnTo>
              <a:close/>
            </a:path>
          </a:pathLst>
        </a:custGeom>
        <a:solidFill>
          <a:srgbClr val="7BAE5F"/>
        </a:solidFill>
      </xdr:spPr>
      <xdr:txBody>
        <a:bodyPr wrap="square" lIns="0" tIns="0" rIns="0" bIns="0" rtlCol="0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/>
        </a:p>
      </xdr:txBody>
    </xdr:sp>
    <xdr:clientData/>
  </xdr:twoCellAnchor>
  <xdr:twoCellAnchor>
    <xdr:from>
      <xdr:col>7</xdr:col>
      <xdr:colOff>23711</xdr:colOff>
      <xdr:row>27</xdr:row>
      <xdr:rowOff>90649</xdr:rowOff>
    </xdr:from>
    <xdr:to>
      <xdr:col>8</xdr:col>
      <xdr:colOff>386296</xdr:colOff>
      <xdr:row>29</xdr:row>
      <xdr:rowOff>172533</xdr:rowOff>
    </xdr:to>
    <xdr:sp macro="" textlink="">
      <xdr:nvSpPr>
        <xdr:cNvPr id="45" name="object 81">
          <a:extLst>
            <a:ext uri="{FF2B5EF4-FFF2-40B4-BE49-F238E27FC236}">
              <a16:creationId xmlns:a16="http://schemas.microsoft.com/office/drawing/2014/main" id="{359CA68A-F010-4CC1-A913-52BB18D99B3E}"/>
            </a:ext>
          </a:extLst>
        </xdr:cNvPr>
        <xdr:cNvSpPr txBox="1"/>
      </xdr:nvSpPr>
      <xdr:spPr>
        <a:xfrm>
          <a:off x="5357711" y="5234149"/>
          <a:ext cx="1124585" cy="462884"/>
        </a:xfrm>
        <a:prstGeom prst="rect">
          <a:avLst/>
        </a:prstGeom>
      </xdr:spPr>
      <xdr:txBody>
        <a:bodyPr vert="horz" wrap="square" lIns="0" tIns="6731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92100">
            <a:lnSpc>
              <a:spcPct val="100000"/>
            </a:lnSpc>
            <a:spcBef>
              <a:spcPts val="530"/>
            </a:spcBef>
          </a:pP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Acumulado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0"/>
            </a:spcBef>
          </a:pP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716939</xdr:colOff>
      <xdr:row>43</xdr:row>
      <xdr:rowOff>163067</xdr:rowOff>
    </xdr:from>
    <xdr:to>
      <xdr:col>4</xdr:col>
      <xdr:colOff>216559</xdr:colOff>
      <xdr:row>45</xdr:row>
      <xdr:rowOff>38718</xdr:rowOff>
    </xdr:to>
    <xdr:sp macro="" textlink="">
      <xdr:nvSpPr>
        <xdr:cNvPr id="46" name="object 82">
          <a:extLst>
            <a:ext uri="{FF2B5EF4-FFF2-40B4-BE49-F238E27FC236}">
              <a16:creationId xmlns:a16="http://schemas.microsoft.com/office/drawing/2014/main" id="{D0106006-4EE1-457A-A213-46459AD35ABE}"/>
            </a:ext>
          </a:extLst>
        </xdr:cNvPr>
        <xdr:cNvSpPr txBox="1"/>
      </xdr:nvSpPr>
      <xdr:spPr>
        <a:xfrm>
          <a:off x="716939" y="8354567"/>
          <a:ext cx="2547620" cy="256651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indent="0" algn="l" defTabSz="914400" rtl="0" eaLnBrk="1" latinLnBrk="0" hangingPunct="1">
            <a:lnSpc>
              <a:spcPct val="100000"/>
            </a:lnSpc>
            <a:spcBef>
              <a:spcPts val="95"/>
            </a:spcBef>
          </a:pPr>
          <a:r>
            <a:rPr lang="es-CO" sz="1350" b="1" kern="1200" spc="7" baseline="-6172">
              <a:solidFill>
                <a:srgbClr val="2E463A"/>
              </a:solidFill>
              <a:latin typeface="Trebuchet MS"/>
              <a:ea typeface="+mn-ea"/>
              <a:cs typeface="Trebuchet MS"/>
            </a:rPr>
            <a:t>KM 15 MAS 750 ALTO DE LAS PALMAS</a:t>
          </a:r>
          <a:endParaRPr sz="1350" b="1" kern="1200" spc="7" baseline="-6172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72259</xdr:colOff>
      <xdr:row>41</xdr:row>
      <xdr:rowOff>109975</xdr:rowOff>
    </xdr:from>
    <xdr:to>
      <xdr:col>3</xdr:col>
      <xdr:colOff>597776</xdr:colOff>
      <xdr:row>44</xdr:row>
      <xdr:rowOff>22582</xdr:rowOff>
    </xdr:to>
    <xdr:sp macro="" textlink="">
      <xdr:nvSpPr>
        <xdr:cNvPr id="47" name="object 83">
          <a:extLst>
            <a:ext uri="{FF2B5EF4-FFF2-40B4-BE49-F238E27FC236}">
              <a16:creationId xmlns:a16="http://schemas.microsoft.com/office/drawing/2014/main" id="{F0D84CC1-BB82-494B-86AD-D8793ED58FE9}"/>
            </a:ext>
          </a:extLst>
        </xdr:cNvPr>
        <xdr:cNvSpPr txBox="1"/>
      </xdr:nvSpPr>
      <xdr:spPr>
        <a:xfrm>
          <a:off x="72259" y="7920475"/>
          <a:ext cx="2811517" cy="484107"/>
        </a:xfrm>
        <a:prstGeom prst="rect">
          <a:avLst/>
        </a:prstGeom>
      </xdr:spPr>
      <xdr:txBody>
        <a:bodyPr vert="horz" wrap="square" lIns="0" tIns="431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-6172">
              <a:solidFill>
                <a:srgbClr val="2E463A"/>
              </a:solidFill>
              <a:latin typeface="Trebuchet MS"/>
              <a:cs typeface="Trebuchet MS"/>
            </a:rPr>
            <a:t>Cliente: </a:t>
          </a:r>
          <a:r>
            <a:rPr sz="1350" b="1" spc="142" baseline="-6172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lang="es-CO" sz="800" b="1" spc="15" baseline="0">
            <a:solidFill>
              <a:srgbClr val="22362C"/>
            </a:solidFill>
            <a:latin typeface="Trebuchet MS"/>
            <a:cs typeface="Trebuchet MS"/>
          </a:endParaRPr>
        </a:p>
        <a:p>
          <a:pPr marL="38100">
            <a:lnSpc>
              <a:spcPct val="100000"/>
            </a:lnSpc>
            <a:spcBef>
              <a:spcPts val="340"/>
            </a:spcBef>
          </a:pPr>
          <a:r>
            <a:rPr sz="1350" b="1" spc="7" baseline="3086">
              <a:solidFill>
                <a:srgbClr val="2E463A"/>
              </a:solidFill>
              <a:latin typeface="Trebuchet MS"/>
              <a:cs typeface="Trebuchet MS"/>
            </a:rPr>
            <a:t>Nit:</a:t>
          </a:r>
          <a:r>
            <a:rPr sz="1350" b="1" spc="375" baseline="3086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7" baseline="3086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88177</xdr:colOff>
      <xdr:row>44</xdr:row>
      <xdr:rowOff>40059</xdr:rowOff>
    </xdr:from>
    <xdr:to>
      <xdr:col>0</xdr:col>
      <xdr:colOff>680632</xdr:colOff>
      <xdr:row>45</xdr:row>
      <xdr:rowOff>31169</xdr:rowOff>
    </xdr:to>
    <xdr:sp macro="" textlink="">
      <xdr:nvSpPr>
        <xdr:cNvPr id="48" name="object 84">
          <a:extLst>
            <a:ext uri="{FF2B5EF4-FFF2-40B4-BE49-F238E27FC236}">
              <a16:creationId xmlns:a16="http://schemas.microsoft.com/office/drawing/2014/main" id="{C8DA8123-016F-4A52-BDD8-257F59168C32}"/>
            </a:ext>
          </a:extLst>
        </xdr:cNvPr>
        <xdr:cNvSpPr txBox="1"/>
      </xdr:nvSpPr>
      <xdr:spPr>
        <a:xfrm>
          <a:off x="88177" y="8422059"/>
          <a:ext cx="592455" cy="181610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900" b="1" spc="5">
              <a:solidFill>
                <a:srgbClr val="2E463A"/>
              </a:solidFill>
              <a:latin typeface="Trebuchet MS"/>
              <a:cs typeface="Trebuchet MS"/>
            </a:rPr>
            <a:t>Dirección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: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90480</xdr:colOff>
      <xdr:row>38</xdr:row>
      <xdr:rowOff>35187</xdr:rowOff>
    </xdr:from>
    <xdr:to>
      <xdr:col>1</xdr:col>
      <xdr:colOff>759373</xdr:colOff>
      <xdr:row>41</xdr:row>
      <xdr:rowOff>148434</xdr:rowOff>
    </xdr:to>
    <xdr:sp macro="" textlink="">
      <xdr:nvSpPr>
        <xdr:cNvPr id="49" name="object 85">
          <a:extLst>
            <a:ext uri="{FF2B5EF4-FFF2-40B4-BE49-F238E27FC236}">
              <a16:creationId xmlns:a16="http://schemas.microsoft.com/office/drawing/2014/main" id="{636ECC25-70BA-4CF8-93F5-40325977130E}"/>
            </a:ext>
          </a:extLst>
        </xdr:cNvPr>
        <xdr:cNvSpPr txBox="1"/>
      </xdr:nvSpPr>
      <xdr:spPr>
        <a:xfrm>
          <a:off x="90480" y="7332566"/>
          <a:ext cx="1429357" cy="689356"/>
        </a:xfrm>
        <a:prstGeom prst="rect">
          <a:avLst/>
        </a:prstGeom>
      </xdr:spPr>
      <xdr:txBody>
        <a:bodyPr vert="horz" wrap="square" lIns="0" tIns="63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CEN ENERGY S.A.S.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r>
            <a:rPr sz="900" b="1" spc="-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901094947-0 </a:t>
          </a:r>
          <a:r>
            <a:rPr sz="9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 </a:t>
          </a:r>
          <a:endParaRPr lang="es-CO" sz="9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  <a:p>
          <a:pPr marL="27305" marR="5080" indent="-6985">
            <a:lnSpc>
              <a:spcPct val="107900"/>
            </a:lnSpc>
            <a:spcBef>
              <a:spcPts val="5"/>
            </a:spcBef>
          </a:pPr>
          <a:r>
            <a:rPr sz="750" b="1" spc="-10">
              <a:solidFill>
                <a:srgbClr val="22362C"/>
              </a:solidFill>
              <a:latin typeface="Trebuchet MS"/>
              <a:cs typeface="Trebuchet MS"/>
            </a:rPr>
            <a:t>FACTURA</a:t>
          </a:r>
          <a:r>
            <a:rPr sz="750" b="1" spc="-30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750">
            <a:latin typeface="Trebuchet MS"/>
            <a:cs typeface="Trebuchet MS"/>
          </a:endParaRPr>
        </a:p>
        <a:p>
          <a:pPr marL="20955">
            <a:lnSpc>
              <a:spcPct val="100000"/>
            </a:lnSpc>
            <a:spcBef>
              <a:spcPts val="100"/>
            </a:spcBef>
          </a:pP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Factura</a:t>
          </a:r>
          <a:r>
            <a:rPr sz="8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800" b="1" spc="15">
              <a:solidFill>
                <a:srgbClr val="2E463A"/>
              </a:solidFill>
              <a:latin typeface="Trebuchet MS"/>
              <a:cs typeface="Trebuchet MS"/>
            </a:rPr>
            <a:t>No.</a:t>
          </a:r>
          <a:endParaRPr sz="800">
            <a:solidFill>
              <a:srgbClr val="34523B"/>
            </a:solidFill>
            <a:latin typeface="Trebuchet MS"/>
            <a:cs typeface="Trebuchet MS"/>
          </a:endParaRPr>
        </a:p>
        <a:p>
          <a:pPr marL="12700">
            <a:lnSpc>
              <a:spcPct val="100000"/>
            </a:lnSpc>
            <a:spcBef>
              <a:spcPts val="90"/>
            </a:spcBef>
          </a:pPr>
          <a:r>
            <a:rPr sz="900" b="1" spc="10">
              <a:solidFill>
                <a:srgbClr val="2E463A"/>
              </a:solidFill>
              <a:latin typeface="Trebuchet MS"/>
              <a:cs typeface="Trebuchet MS"/>
            </a:rPr>
            <a:t>Contrato</a:t>
          </a:r>
          <a:r>
            <a:rPr sz="9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750" b="1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900" b="1">
              <a:solidFill>
                <a:srgbClr val="2E463A"/>
              </a:solidFill>
              <a:latin typeface="Trebuchet MS"/>
              <a:cs typeface="Trebuchet MS"/>
            </a:rPr>
            <a:t>.</a:t>
          </a:r>
          <a:endParaRPr sz="9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485825</xdr:colOff>
      <xdr:row>0</xdr:row>
      <xdr:rowOff>108547</xdr:rowOff>
    </xdr:from>
    <xdr:to>
      <xdr:col>8</xdr:col>
      <xdr:colOff>222300</xdr:colOff>
      <xdr:row>2</xdr:row>
      <xdr:rowOff>12027</xdr:rowOff>
    </xdr:to>
    <xdr:sp macro="" textlink="">
      <xdr:nvSpPr>
        <xdr:cNvPr id="50" name="object 86">
          <a:extLst>
            <a:ext uri="{FF2B5EF4-FFF2-40B4-BE49-F238E27FC236}">
              <a16:creationId xmlns:a16="http://schemas.microsoft.com/office/drawing/2014/main" id="{8FA7A12B-B084-4C53-B24A-322800E40274}"/>
            </a:ext>
          </a:extLst>
        </xdr:cNvPr>
        <xdr:cNvSpPr txBox="1"/>
      </xdr:nvSpPr>
      <xdr:spPr>
        <a:xfrm>
          <a:off x="4448225" y="108547"/>
          <a:ext cx="2113915" cy="269240"/>
        </a:xfrm>
        <a:prstGeom prst="rect">
          <a:avLst/>
        </a:prstGeom>
        <a:solidFill>
          <a:srgbClr val="7BAE5F"/>
        </a:solidFill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577850">
            <a:lnSpc>
              <a:spcPct val="100000"/>
            </a:lnSpc>
            <a:spcBef>
              <a:spcPts val="535"/>
            </a:spcBef>
          </a:pPr>
          <a:r>
            <a:rPr sz="1000" b="1" spc="5">
              <a:solidFill>
                <a:srgbClr val="FFFFFF"/>
              </a:solidFill>
              <a:latin typeface="Trebuchet MS"/>
              <a:cs typeface="Trebuchet MS"/>
            </a:rPr>
            <a:t>!FELICIDADES¡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135429</xdr:colOff>
      <xdr:row>3</xdr:row>
      <xdr:rowOff>100037</xdr:rowOff>
    </xdr:from>
    <xdr:to>
      <xdr:col>7</xdr:col>
      <xdr:colOff>568872</xdr:colOff>
      <xdr:row>5</xdr:row>
      <xdr:rowOff>62016</xdr:rowOff>
    </xdr:to>
    <xdr:sp macro="" textlink="">
      <xdr:nvSpPr>
        <xdr:cNvPr id="51" name="object 87">
          <a:extLst>
            <a:ext uri="{FF2B5EF4-FFF2-40B4-BE49-F238E27FC236}">
              <a16:creationId xmlns:a16="http://schemas.microsoft.com/office/drawing/2014/main" id="{AF753FF9-0D79-4577-A446-8743FF296E3D}"/>
            </a:ext>
          </a:extLst>
        </xdr:cNvPr>
        <xdr:cNvSpPr txBox="1"/>
      </xdr:nvSpPr>
      <xdr:spPr>
        <a:xfrm>
          <a:off x="3945429" y="671537"/>
          <a:ext cx="1957443" cy="342979"/>
        </a:xfrm>
        <a:prstGeom prst="rect">
          <a:avLst/>
        </a:prstGeom>
      </xdr:spPr>
      <xdr:txBody>
        <a:bodyPr vert="horz" wrap="square" lIns="0" tIns="1206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500"/>
            </a:lnSpc>
            <a:spcBef>
              <a:spcPts val="95"/>
            </a:spcBef>
          </a:pP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Eres parte del cambio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en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la </a:t>
          </a:r>
          <a:r>
            <a:rPr sz="1000" b="1" spc="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generación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1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10">
              <a:solidFill>
                <a:srgbClr val="2E463A"/>
              </a:solidFill>
              <a:latin typeface="Trebuchet MS"/>
              <a:cs typeface="Trebuchet MS"/>
            </a:rPr>
            <a:t>energías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5">
              <a:solidFill>
                <a:srgbClr val="2E463A"/>
              </a:solidFill>
              <a:latin typeface="Trebuchet MS"/>
              <a:cs typeface="Trebuchet MS"/>
            </a:rPr>
            <a:t>limpias.</a:t>
          </a:r>
          <a:endParaRPr lang="es-CO" sz="1000" b="1" spc="5">
            <a:solidFill>
              <a:srgbClr val="2E463A"/>
            </a:solidFill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4</xdr:col>
      <xdr:colOff>713752</xdr:colOff>
      <xdr:row>9</xdr:row>
      <xdr:rowOff>162468</xdr:rowOff>
    </xdr:from>
    <xdr:to>
      <xdr:col>5</xdr:col>
      <xdr:colOff>550325</xdr:colOff>
      <xdr:row>12</xdr:row>
      <xdr:rowOff>149396</xdr:rowOff>
    </xdr:to>
    <xdr:pic>
      <xdr:nvPicPr>
        <xdr:cNvPr id="52" name="object 90">
          <a:extLst>
            <a:ext uri="{FF2B5EF4-FFF2-40B4-BE49-F238E27FC236}">
              <a16:creationId xmlns:a16="http://schemas.microsoft.com/office/drawing/2014/main" id="{E1E39603-D960-46CE-A377-F8B4EA3DF01E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83672" y="1808388"/>
          <a:ext cx="617623" cy="535568"/>
        </a:xfrm>
        <a:prstGeom prst="rect">
          <a:avLst/>
        </a:prstGeom>
      </xdr:spPr>
    </xdr:pic>
    <xdr:clientData/>
  </xdr:twoCellAnchor>
  <xdr:twoCellAnchor editAs="oneCell">
    <xdr:from>
      <xdr:col>7</xdr:col>
      <xdr:colOff>687114</xdr:colOff>
      <xdr:row>23</xdr:row>
      <xdr:rowOff>20436</xdr:rowOff>
    </xdr:from>
    <xdr:to>
      <xdr:col>8</xdr:col>
      <xdr:colOff>572436</xdr:colOff>
      <xdr:row>26</xdr:row>
      <xdr:rowOff>1870</xdr:rowOff>
    </xdr:to>
    <xdr:pic>
      <xdr:nvPicPr>
        <xdr:cNvPr id="53" name="object 91">
          <a:extLst>
            <a:ext uri="{FF2B5EF4-FFF2-40B4-BE49-F238E27FC236}">
              <a16:creationId xmlns:a16="http://schemas.microsoft.com/office/drawing/2014/main" id="{FAFF50C1-77E7-4B3F-A2AE-E67D4AA15774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234474" y="4226676"/>
          <a:ext cx="677802" cy="530074"/>
        </a:xfrm>
        <a:prstGeom prst="rect">
          <a:avLst/>
        </a:prstGeom>
      </xdr:spPr>
    </xdr:pic>
    <xdr:clientData/>
  </xdr:twoCellAnchor>
  <xdr:twoCellAnchor editAs="oneCell">
    <xdr:from>
      <xdr:col>0</xdr:col>
      <xdr:colOff>32905</xdr:colOff>
      <xdr:row>0</xdr:row>
      <xdr:rowOff>95781</xdr:rowOff>
    </xdr:from>
    <xdr:to>
      <xdr:col>4</xdr:col>
      <xdr:colOff>359281</xdr:colOff>
      <xdr:row>6</xdr:row>
      <xdr:rowOff>54357</xdr:rowOff>
    </xdr:to>
    <xdr:pic>
      <xdr:nvPicPr>
        <xdr:cNvPr id="54" name="object 92">
          <a:extLst>
            <a:ext uri="{FF2B5EF4-FFF2-40B4-BE49-F238E27FC236}">
              <a16:creationId xmlns:a16="http://schemas.microsoft.com/office/drawing/2014/main" id="{509CEF99-BD60-4F21-A983-13A557AD045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2905" y="95781"/>
          <a:ext cx="3492486" cy="1044426"/>
        </a:xfrm>
        <a:prstGeom prst="rect">
          <a:avLst/>
        </a:prstGeom>
      </xdr:spPr>
    </xdr:pic>
    <xdr:clientData/>
  </xdr:twoCellAnchor>
  <xdr:twoCellAnchor>
    <xdr:from>
      <xdr:col>5</xdr:col>
      <xdr:colOff>649880</xdr:colOff>
      <xdr:row>10</xdr:row>
      <xdr:rowOff>89533</xdr:rowOff>
    </xdr:from>
    <xdr:to>
      <xdr:col>8</xdr:col>
      <xdr:colOff>451760</xdr:colOff>
      <xdr:row>12</xdr:row>
      <xdr:rowOff>86993</xdr:rowOff>
    </xdr:to>
    <xdr:sp macro="" textlink="">
      <xdr:nvSpPr>
        <xdr:cNvPr id="55" name="object 93">
          <a:extLst>
            <a:ext uri="{FF2B5EF4-FFF2-40B4-BE49-F238E27FC236}">
              <a16:creationId xmlns:a16="http://schemas.microsoft.com/office/drawing/2014/main" id="{0C64871C-FDA2-490C-A249-CAD6DF3BCBC0}"/>
            </a:ext>
          </a:extLst>
        </xdr:cNvPr>
        <xdr:cNvSpPr txBox="1"/>
      </xdr:nvSpPr>
      <xdr:spPr>
        <a:xfrm>
          <a:off x="4612280" y="1918333"/>
          <a:ext cx="2179320" cy="363220"/>
        </a:xfrm>
        <a:prstGeom prst="rect">
          <a:avLst/>
        </a:prstGeom>
      </xdr:spPr>
      <xdr:txBody>
        <a:bodyPr vert="horz" wrap="square" lIns="0" tIns="1143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R="5080">
            <a:lnSpc>
              <a:spcPct val="115700"/>
            </a:lnSpc>
            <a:spcBef>
              <a:spcPts val="90"/>
            </a:spcBef>
          </a:pP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¡Gracias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por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tomar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buenas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decisiones! </a:t>
          </a:r>
          <a:r>
            <a:rPr sz="1000" b="1" spc="-29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5">
              <a:solidFill>
                <a:srgbClr val="2E463A"/>
              </a:solidFill>
              <a:latin typeface="Trebuchet MS"/>
              <a:cs typeface="Trebuchet MS"/>
            </a:rPr>
            <a:t>E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sto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se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refl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eja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en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t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u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50">
              <a:solidFill>
                <a:srgbClr val="2E463A"/>
              </a:solidFill>
              <a:latin typeface="Trebuchet MS"/>
              <a:cs typeface="Trebuchet MS"/>
            </a:rPr>
            <a:t>ahor</a:t>
          </a:r>
          <a:r>
            <a:rPr sz="1000" b="1" spc="-45">
              <a:solidFill>
                <a:srgbClr val="2E463A"/>
              </a:solidFill>
              <a:latin typeface="Trebuchet MS"/>
              <a:cs typeface="Trebuchet MS"/>
            </a:rPr>
            <a:t>r</a:t>
          </a:r>
          <a:r>
            <a:rPr sz="1000" b="1" spc="-40">
              <a:solidFill>
                <a:srgbClr val="2E463A"/>
              </a:solidFill>
              <a:latin typeface="Trebuchet MS"/>
              <a:cs typeface="Trebuchet MS"/>
            </a:rPr>
            <a:t>o.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676060</xdr:colOff>
      <xdr:row>22</xdr:row>
      <xdr:rowOff>162671</xdr:rowOff>
    </xdr:from>
    <xdr:to>
      <xdr:col>7</xdr:col>
      <xdr:colOff>390310</xdr:colOff>
      <xdr:row>26</xdr:row>
      <xdr:rowOff>106791</xdr:rowOff>
    </xdr:to>
    <xdr:sp macro="" textlink="">
      <xdr:nvSpPr>
        <xdr:cNvPr id="56" name="object 94">
          <a:extLst>
            <a:ext uri="{FF2B5EF4-FFF2-40B4-BE49-F238E27FC236}">
              <a16:creationId xmlns:a16="http://schemas.microsoft.com/office/drawing/2014/main" id="{AC491A11-34EC-4502-91D9-3E46E8374658}"/>
            </a:ext>
          </a:extLst>
        </xdr:cNvPr>
        <xdr:cNvSpPr txBox="1"/>
      </xdr:nvSpPr>
      <xdr:spPr>
        <a:xfrm>
          <a:off x="3845980" y="4186031"/>
          <a:ext cx="2091690" cy="675640"/>
        </a:xfrm>
        <a:prstGeom prst="rect">
          <a:avLst/>
        </a:prstGeom>
      </xdr:spPr>
      <xdr:txBody>
        <a:bodyPr vert="horz" wrap="square" lIns="0" tIns="3048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lnSpc>
              <a:spcPct val="100000"/>
            </a:lnSpc>
            <a:spcBef>
              <a:spcPts val="240"/>
            </a:spcBef>
          </a:pP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¡Y</a:t>
          </a:r>
          <a:r>
            <a:rPr sz="1000" b="1" spc="-30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no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todo!</a:t>
          </a:r>
          <a:endParaRPr sz="1000">
            <a:latin typeface="Trebuchet MS"/>
            <a:cs typeface="Trebuchet MS"/>
          </a:endParaRPr>
        </a:p>
        <a:p>
          <a:pPr marR="5080">
            <a:lnSpc>
              <a:spcPct val="111600"/>
            </a:lnSpc>
          </a:pP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Con</a:t>
          </a:r>
          <a:r>
            <a:rPr sz="1000" b="1" spc="-2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esta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energía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amigable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ahorras </a:t>
          </a:r>
          <a:r>
            <a:rPr sz="1000" b="1" spc="-28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y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haces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parte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la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nueva</a:t>
          </a:r>
          <a:r>
            <a:rPr sz="1000" b="1" spc="-5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era</a:t>
          </a:r>
          <a:r>
            <a:rPr sz="1000" b="1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de </a:t>
          </a:r>
          <a:r>
            <a:rPr sz="1000" b="1" spc="-15">
              <a:solidFill>
                <a:srgbClr val="2E463A"/>
              </a:solidFill>
              <a:latin typeface="Trebuchet MS"/>
              <a:cs typeface="Trebuchet MS"/>
            </a:rPr>
            <a:t> la</a:t>
          </a:r>
          <a:r>
            <a:rPr sz="1000" b="1" spc="-20">
              <a:solidFill>
                <a:srgbClr val="2E463A"/>
              </a:solidFill>
              <a:latin typeface="Trebuchet MS"/>
              <a:cs typeface="Trebuchet MS"/>
            </a:rPr>
            <a:t> sostenibilidad.</a:t>
          </a:r>
          <a:endParaRPr sz="1000">
            <a:latin typeface="Trebuchet MS"/>
            <a:cs typeface="Trebuchet MS"/>
          </a:endParaRPr>
        </a:p>
      </xdr:txBody>
    </xdr:sp>
    <xdr:clientData/>
  </xdr:twoCellAnchor>
  <xdr:twoCellAnchor editAs="oneCell">
    <xdr:from>
      <xdr:col>7</xdr:col>
      <xdr:colOff>707897</xdr:colOff>
      <xdr:row>3</xdr:row>
      <xdr:rowOff>36284</xdr:rowOff>
    </xdr:from>
    <xdr:to>
      <xdr:col>8</xdr:col>
      <xdr:colOff>588176</xdr:colOff>
      <xdr:row>6</xdr:row>
      <xdr:rowOff>91530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931C7C13-72DD-4C9B-9EA9-15E50CC1A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5257" y="584924"/>
          <a:ext cx="661329" cy="592456"/>
        </a:xfrm>
        <a:prstGeom prst="rect">
          <a:avLst/>
        </a:prstGeom>
      </xdr:spPr>
    </xdr:pic>
    <xdr:clientData/>
  </xdr:twoCellAnchor>
  <xdr:twoCellAnchor>
    <xdr:from>
      <xdr:col>0</xdr:col>
      <xdr:colOff>114465</xdr:colOff>
      <xdr:row>15</xdr:row>
      <xdr:rowOff>49281</xdr:rowOff>
    </xdr:from>
    <xdr:to>
      <xdr:col>4</xdr:col>
      <xdr:colOff>458193</xdr:colOff>
      <xdr:row>24</xdr:row>
      <xdr:rowOff>92103</xdr:rowOff>
    </xdr:to>
    <xdr:graphicFrame macro="">
      <xdr:nvGraphicFramePr>
        <xdr:cNvPr id="58" name="Gráfico 1">
          <a:extLst>
            <a:ext uri="{FF2B5EF4-FFF2-40B4-BE49-F238E27FC236}">
              <a16:creationId xmlns:a16="http://schemas.microsoft.com/office/drawing/2014/main" id="{44353930-3D9C-4198-9256-D82D5F374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168991</xdr:colOff>
      <xdr:row>8</xdr:row>
      <xdr:rowOff>42678</xdr:rowOff>
    </xdr:from>
    <xdr:to>
      <xdr:col>6</xdr:col>
      <xdr:colOff>629879</xdr:colOff>
      <xdr:row>9</xdr:row>
      <xdr:rowOff>21777</xdr:rowOff>
    </xdr:to>
    <xdr:sp macro="" textlink="$O$65">
      <xdr:nvSpPr>
        <xdr:cNvPr id="59" name="object 49">
          <a:extLst>
            <a:ext uri="{FF2B5EF4-FFF2-40B4-BE49-F238E27FC236}">
              <a16:creationId xmlns:a16="http://schemas.microsoft.com/office/drawing/2014/main" id="{2F995A4A-6FBB-45FD-BC80-2040E33C6C0C}"/>
            </a:ext>
          </a:extLst>
        </xdr:cNvPr>
        <xdr:cNvSpPr txBox="1"/>
      </xdr:nvSpPr>
      <xdr:spPr>
        <a:xfrm>
          <a:off x="3971310" y="1578968"/>
          <a:ext cx="1221351" cy="171136"/>
        </a:xfrm>
        <a:prstGeom prst="rect">
          <a:avLst/>
        </a:prstGeom>
      </xdr:spPr>
      <xdr:txBody>
        <a:bodyPr vert="horz" wrap="square" lIns="0" tIns="14604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00000"/>
            </a:lnSpc>
            <a:spcBef>
              <a:spcPts val="114"/>
            </a:spcBef>
          </a:pPr>
          <a:fld id="{9367ADA1-9A4E-478E-A436-F50DFB0C6B9D}" type="TxLink">
            <a:rPr lang="en-US" sz="1050" b="1" i="0" u="none" strike="noStrike" spc="-7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ctr">
              <a:lnSpc>
                <a:spcPct val="100000"/>
              </a:lnSpc>
              <a:spcBef>
                <a:spcPts val="114"/>
              </a:spcBef>
            </a:pPr>
            <a:t>$ 94.586.268.511,76</a:t>
          </a:fld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4</xdr:col>
      <xdr:colOff>661768</xdr:colOff>
      <xdr:row>13</xdr:row>
      <xdr:rowOff>22860</xdr:rowOff>
    </xdr:from>
    <xdr:to>
      <xdr:col>8</xdr:col>
      <xdr:colOff>722056</xdr:colOff>
      <xdr:row>23</xdr:row>
      <xdr:rowOff>38407</xdr:rowOff>
    </xdr:to>
    <xdr:graphicFrame macro="">
      <xdr:nvGraphicFramePr>
        <xdr:cNvPr id="60" name="Gráfico 6">
          <a:extLst>
            <a:ext uri="{FF2B5EF4-FFF2-40B4-BE49-F238E27FC236}">
              <a16:creationId xmlns:a16="http://schemas.microsoft.com/office/drawing/2014/main" id="{B2634D80-019A-4079-9C1B-027BCF874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131379</xdr:colOff>
      <xdr:row>8</xdr:row>
      <xdr:rowOff>109482</xdr:rowOff>
    </xdr:from>
    <xdr:to>
      <xdr:col>3</xdr:col>
      <xdr:colOff>120432</xdr:colOff>
      <xdr:row>9</xdr:row>
      <xdr:rowOff>120431</xdr:rowOff>
    </xdr:to>
    <xdr:sp macro="" textlink="$O$52">
      <xdr:nvSpPr>
        <xdr:cNvPr id="62" name="object 3">
          <a:extLst>
            <a:ext uri="{FF2B5EF4-FFF2-40B4-BE49-F238E27FC236}">
              <a16:creationId xmlns:a16="http://schemas.microsoft.com/office/drawing/2014/main" id="{240DA9F6-9121-49D5-BEFF-16AD93923C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664138" y="1598448"/>
          <a:ext cx="755432" cy="197069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5D8F90C2-3C0D-4421-8A48-651C7DB63858}" type="TxLink">
            <a:rPr lang="en-US" sz="850" b="1" i="0" u="none" strike="noStrike" spc="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1/02/2023</a:t>
          </a:fld>
          <a:endParaRPr sz="8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48937</xdr:colOff>
      <xdr:row>8</xdr:row>
      <xdr:rowOff>102148</xdr:rowOff>
    </xdr:from>
    <xdr:to>
      <xdr:col>4</xdr:col>
      <xdr:colOff>120430</xdr:colOff>
      <xdr:row>9</xdr:row>
      <xdr:rowOff>98535</xdr:rowOff>
    </xdr:to>
    <xdr:sp macro="" textlink="$O$53">
      <xdr:nvSpPr>
        <xdr:cNvPr id="65" name="object 3">
          <a:extLst>
            <a:ext uri="{FF2B5EF4-FFF2-40B4-BE49-F238E27FC236}">
              <a16:creationId xmlns:a16="http://schemas.microsoft.com/office/drawing/2014/main" id="{2F742C9D-E0AF-47B7-B424-5207224734C8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2348075" y="1591114"/>
          <a:ext cx="837872" cy="182507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fld id="{CDDE01D9-DDA1-4529-9C47-46110B826992}" type="TxLink">
            <a:rPr lang="en-US" sz="85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0"/>
              </a:spcBef>
              <a:tabLst>
                <a:tab pos="1559560" algn="l"/>
              </a:tabLst>
            </a:pPr>
            <a:t>28/02/2023</a:t>
          </a:fld>
          <a:endParaRPr sz="85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420413</xdr:colOff>
      <xdr:row>8</xdr:row>
      <xdr:rowOff>95579</xdr:rowOff>
    </xdr:from>
    <xdr:to>
      <xdr:col>3</xdr:col>
      <xdr:colOff>144516</xdr:colOff>
      <xdr:row>9</xdr:row>
      <xdr:rowOff>94594</xdr:rowOff>
    </xdr:to>
    <xdr:sp macro="" textlink="">
      <xdr:nvSpPr>
        <xdr:cNvPr id="66" name="object 3">
          <a:extLst>
            <a:ext uri="{FF2B5EF4-FFF2-40B4-BE49-F238E27FC236}">
              <a16:creationId xmlns:a16="http://schemas.microsoft.com/office/drawing/2014/main" id="{A7DC42BB-47DE-4F70-8040-C6AFE63A582A}"/>
            </a:ext>
            <a:ext uri="{147F2762-F138-4A5C-976F-8EAC2B608ADB}">
              <a16:predDERef xmlns:a16="http://schemas.microsoft.com/office/drawing/2014/main" pred="{D69F1BF6-52EA-49C1-A53A-2F14D1A2FE2C}"/>
            </a:ext>
          </a:extLst>
        </xdr:cNvPr>
        <xdr:cNvSpPr txBox="1"/>
      </xdr:nvSpPr>
      <xdr:spPr>
        <a:xfrm>
          <a:off x="1953172" y="1584545"/>
          <a:ext cx="490482" cy="185135"/>
        </a:xfrm>
        <a:prstGeom prst="rect">
          <a:avLst/>
        </a:prstGeom>
      </xdr:spPr>
      <xdr:txBody>
        <a:bodyPr vert="horz" wrap="square" lIns="0" tIns="1651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0"/>
            </a:spcBef>
            <a:tabLst>
              <a:tab pos="1559560" algn="l"/>
            </a:tabLst>
          </a:pPr>
          <a:r>
            <a:rPr lang="es-CO" sz="850" b="1" spc="0" baseline="0">
              <a:solidFill>
                <a:srgbClr val="22362C"/>
              </a:solidFill>
              <a:latin typeface="Trebuchet MS"/>
              <a:cs typeface="Trebuchet MS"/>
            </a:rPr>
            <a:t>         -</a:t>
          </a:r>
          <a:endParaRPr sz="850">
            <a:latin typeface="Trebuchet MS"/>
            <a:cs typeface="Trebuchet MS"/>
          </a:endParaRPr>
        </a:p>
      </xdr:txBody>
    </xdr:sp>
    <xdr:clientData/>
  </xdr:twoCellAnchor>
  <xdr:twoCellAnchor>
    <xdr:from>
      <xdr:col>2</xdr:col>
      <xdr:colOff>130586</xdr:colOff>
      <xdr:row>13</xdr:row>
      <xdr:rowOff>99800</xdr:rowOff>
    </xdr:from>
    <xdr:to>
      <xdr:col>3</xdr:col>
      <xdr:colOff>453206</xdr:colOff>
      <xdr:row>14</xdr:row>
      <xdr:rowOff>85698</xdr:rowOff>
    </xdr:to>
    <xdr:sp macro="" textlink="$O$56">
      <xdr:nvSpPr>
        <xdr:cNvPr id="67" name="object 19">
          <a:extLst>
            <a:ext uri="{FF2B5EF4-FFF2-40B4-BE49-F238E27FC236}">
              <a16:creationId xmlns:a16="http://schemas.microsoft.com/office/drawing/2014/main" id="{13862F84-F92F-40AC-817C-BEAB718B5C54}"/>
            </a:ext>
          </a:extLst>
        </xdr:cNvPr>
        <xdr:cNvSpPr txBox="1"/>
      </xdr:nvSpPr>
      <xdr:spPr>
        <a:xfrm>
          <a:off x="1651513" y="2596272"/>
          <a:ext cx="1083084" cy="177934"/>
        </a:xfrm>
        <a:prstGeom prst="rect">
          <a:avLst/>
        </a:prstGeom>
      </xdr:spPr>
      <xdr:txBody>
        <a:bodyPr vert="horz" wrap="square" lIns="0" tIns="13970" rIns="0" bIns="0" rtlCol="0" anchor="ctr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A9E6A02F-384C-4AFB-99E1-D64FD8FEEF27}" type="TxLink">
            <a:rPr lang="en-US" sz="1100" b="1" i="0" u="none" strike="noStrike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ctr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9.825.361,62</a:t>
          </a:fld>
          <a:endParaRPr sz="110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591472</xdr:colOff>
      <xdr:row>13</xdr:row>
      <xdr:rowOff>32715</xdr:rowOff>
    </xdr:from>
    <xdr:to>
      <xdr:col>2</xdr:col>
      <xdr:colOff>145948</xdr:colOff>
      <xdr:row>14</xdr:row>
      <xdr:rowOff>140374</xdr:rowOff>
    </xdr:to>
    <xdr:sp macro="" textlink="">
      <xdr:nvSpPr>
        <xdr:cNvPr id="68" name="object 19">
          <a:extLst>
            <a:ext uri="{FF2B5EF4-FFF2-40B4-BE49-F238E27FC236}">
              <a16:creationId xmlns:a16="http://schemas.microsoft.com/office/drawing/2014/main" id="{02CFB25E-3975-4B71-8F28-74B2D154194D}"/>
            </a:ext>
          </a:extLst>
        </xdr:cNvPr>
        <xdr:cNvSpPr txBox="1"/>
      </xdr:nvSpPr>
      <xdr:spPr>
        <a:xfrm>
          <a:off x="1351936" y="2529187"/>
          <a:ext cx="314939" cy="299695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3</xdr:col>
      <xdr:colOff>386798</xdr:colOff>
      <xdr:row>13</xdr:row>
      <xdr:rowOff>36254</xdr:rowOff>
    </xdr:from>
    <xdr:to>
      <xdr:col>3</xdr:col>
      <xdr:colOff>722057</xdr:colOff>
      <xdr:row>14</xdr:row>
      <xdr:rowOff>143913</xdr:rowOff>
    </xdr:to>
    <xdr:sp macro="" textlink="">
      <xdr:nvSpPr>
        <xdr:cNvPr id="69" name="object 19">
          <a:extLst>
            <a:ext uri="{FF2B5EF4-FFF2-40B4-BE49-F238E27FC236}">
              <a16:creationId xmlns:a16="http://schemas.microsoft.com/office/drawing/2014/main" id="{515A081C-81AC-44A3-A2A1-EDFED05DF3A5}"/>
            </a:ext>
          </a:extLst>
        </xdr:cNvPr>
        <xdr:cNvSpPr txBox="1"/>
      </xdr:nvSpPr>
      <xdr:spPr>
        <a:xfrm>
          <a:off x="2668189" y="2532726"/>
          <a:ext cx="335259" cy="299695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r>
            <a:rPr lang="es-MX" sz="1250" b="1" spc="5">
              <a:solidFill>
                <a:srgbClr val="22362C"/>
              </a:solidFill>
              <a:latin typeface="Trebuchet MS"/>
              <a:cs typeface="Trebuchet MS"/>
            </a:rPr>
            <a:t>   </a:t>
          </a:r>
          <a:r>
            <a:rPr lang="es-MX" sz="1250" b="1" spc="5" baseline="0">
              <a:solidFill>
                <a:srgbClr val="22362C"/>
              </a:solidFill>
              <a:latin typeface="Trebuchet MS"/>
              <a:cs typeface="Trebuchet MS"/>
            </a:rPr>
            <a:t>       </a:t>
          </a:r>
          <a:r>
            <a:rPr sz="1100" b="1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kwh</a:t>
          </a:r>
          <a:r>
            <a:rPr sz="1250" b="1">
              <a:solidFill>
                <a:srgbClr val="22362C"/>
              </a:solidFill>
              <a:latin typeface="Trebuchet MS"/>
              <a:cs typeface="Trebuchet MS"/>
            </a:rPr>
            <a:t>	</a:t>
          </a:r>
          <a:r>
            <a:rPr lang="es-MX" sz="1250" b="1">
              <a:solidFill>
                <a:srgbClr val="22362C"/>
              </a:solidFill>
              <a:latin typeface="Trebuchet MS"/>
              <a:cs typeface="Trebuchet MS"/>
            </a:rPr>
            <a:t> </a:t>
          </a:r>
          <a:endParaRPr sz="1875" baseline="2222">
            <a:latin typeface="Trebuchet MS"/>
            <a:cs typeface="Trebuchet MS"/>
          </a:endParaRPr>
        </a:p>
      </xdr:txBody>
    </xdr:sp>
    <xdr:clientData/>
  </xdr:twoCellAnchor>
  <xdr:twoCellAnchor>
    <xdr:from>
      <xdr:col>7</xdr:col>
      <xdr:colOff>711159</xdr:colOff>
      <xdr:row>27</xdr:row>
      <xdr:rowOff>113899</xdr:rowOff>
    </xdr:from>
    <xdr:to>
      <xdr:col>8</xdr:col>
      <xdr:colOff>422481</xdr:colOff>
      <xdr:row>30</xdr:row>
      <xdr:rowOff>43420</xdr:rowOff>
    </xdr:to>
    <xdr:sp macro="" textlink="">
      <xdr:nvSpPr>
        <xdr:cNvPr id="78" name="object 80">
          <a:extLst>
            <a:ext uri="{FF2B5EF4-FFF2-40B4-BE49-F238E27FC236}">
              <a16:creationId xmlns:a16="http://schemas.microsoft.com/office/drawing/2014/main" id="{8CEE2422-1780-4938-B498-E2BB006B1C33}"/>
            </a:ext>
          </a:extLst>
        </xdr:cNvPr>
        <xdr:cNvSpPr txBox="1"/>
      </xdr:nvSpPr>
      <xdr:spPr>
        <a:xfrm>
          <a:off x="6034405" y="5298879"/>
          <a:ext cx="471786" cy="505630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5</xdr:col>
      <xdr:colOff>138267</xdr:colOff>
      <xdr:row>27</xdr:row>
      <xdr:rowOff>103186</xdr:rowOff>
    </xdr:from>
    <xdr:to>
      <xdr:col>6</xdr:col>
      <xdr:colOff>627894</xdr:colOff>
      <xdr:row>29</xdr:row>
      <xdr:rowOff>185711</xdr:rowOff>
    </xdr:to>
    <xdr:sp macro="" textlink="">
      <xdr:nvSpPr>
        <xdr:cNvPr id="79" name="object 80">
          <a:extLst>
            <a:ext uri="{FF2B5EF4-FFF2-40B4-BE49-F238E27FC236}">
              <a16:creationId xmlns:a16="http://schemas.microsoft.com/office/drawing/2014/main" id="{29B5175B-F781-4EE8-BF9A-85300AC60F79}"/>
            </a:ext>
          </a:extLst>
        </xdr:cNvPr>
        <xdr:cNvSpPr txBox="1"/>
      </xdr:nvSpPr>
      <xdr:spPr>
        <a:xfrm>
          <a:off x="3940586" y="5288166"/>
          <a:ext cx="1250090" cy="466597"/>
        </a:xfrm>
        <a:prstGeom prst="rect">
          <a:avLst/>
        </a:prstGeom>
      </xdr:spPr>
      <xdr:txBody>
        <a:bodyPr vert="horz" wrap="square" lIns="0" tIns="679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r>
            <a:rPr lang="es-MX" sz="800" b="1" spc="-10">
              <a:solidFill>
                <a:srgbClr val="FFFFFF"/>
              </a:solidFill>
              <a:latin typeface="Trebuchet MS"/>
              <a:cs typeface="Trebuchet MS"/>
            </a:rPr>
            <a:t>   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Periodo</a:t>
          </a:r>
          <a:r>
            <a:rPr sz="800" b="1" spc="-45">
              <a:solidFill>
                <a:srgbClr val="FFFFFF"/>
              </a:solidFill>
              <a:latin typeface="Trebuchet MS"/>
              <a:cs typeface="Trebuchet MS"/>
            </a:rPr>
            <a:t> </a:t>
          </a:r>
          <a:r>
            <a:rPr sz="800" b="1" spc="-10">
              <a:solidFill>
                <a:srgbClr val="FFFFFF"/>
              </a:solidFill>
              <a:latin typeface="Trebuchet MS"/>
              <a:cs typeface="Trebuchet MS"/>
            </a:rPr>
            <a:t>Actual</a:t>
          </a: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250" b="1" spc="15">
              <a:solidFill>
                <a:srgbClr val="22362C"/>
              </a:solidFill>
              <a:latin typeface="Trebuchet MS"/>
              <a:cs typeface="Trebuchet MS"/>
            </a:rPr>
            <a:t>  </a:t>
          </a:r>
          <a:endParaRPr sz="1250"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168992</xdr:colOff>
      <xdr:row>27</xdr:row>
      <xdr:rowOff>122902</xdr:rowOff>
    </xdr:from>
    <xdr:to>
      <xdr:col>6</xdr:col>
      <xdr:colOff>630621</xdr:colOff>
      <xdr:row>30</xdr:row>
      <xdr:rowOff>22800</xdr:rowOff>
    </xdr:to>
    <xdr:sp macro="" textlink="">
      <xdr:nvSpPr>
        <xdr:cNvPr id="81" name="object 80">
          <a:extLst>
            <a:ext uri="{FF2B5EF4-FFF2-40B4-BE49-F238E27FC236}">
              <a16:creationId xmlns:a16="http://schemas.microsoft.com/office/drawing/2014/main" id="{D9A4D0E9-501F-4FBE-961F-AE5D680B26AB}"/>
            </a:ext>
          </a:extLst>
        </xdr:cNvPr>
        <xdr:cNvSpPr txBox="1"/>
      </xdr:nvSpPr>
      <xdr:spPr>
        <a:xfrm>
          <a:off x="4731774" y="5307882"/>
          <a:ext cx="461629" cy="476007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6530">
            <a:lnSpc>
              <a:spcPct val="100000"/>
            </a:lnSpc>
            <a:spcBef>
              <a:spcPts val="535"/>
            </a:spcBef>
          </a:pPr>
          <a:endParaRPr sz="800">
            <a:latin typeface="Trebuchet MS"/>
            <a:cs typeface="Trebuchet MS"/>
          </a:endParaRPr>
        </a:p>
        <a:p>
          <a:pPr>
            <a:lnSpc>
              <a:spcPct val="100000"/>
            </a:lnSpc>
            <a:spcBef>
              <a:spcPts val="735"/>
            </a:spcBef>
          </a:pPr>
          <a:r>
            <a:rPr lang="es-MX" sz="1050" b="1" spc="15">
              <a:solidFill>
                <a:schemeClr val="accent6">
                  <a:lumMod val="50000"/>
                </a:schemeClr>
              </a:solidFill>
              <a:latin typeface="Trebuchet MS"/>
              <a:cs typeface="Trebuchet MS"/>
            </a:rPr>
            <a:t>Kg Co2</a:t>
          </a:r>
          <a:endParaRPr sz="1050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101284</xdr:colOff>
      <xdr:row>9</xdr:row>
      <xdr:rowOff>95926</xdr:rowOff>
    </xdr:from>
    <xdr:to>
      <xdr:col>1</xdr:col>
      <xdr:colOff>426982</xdr:colOff>
      <xdr:row>10</xdr:row>
      <xdr:rowOff>149660</xdr:rowOff>
    </xdr:to>
    <xdr:sp macro="" textlink="">
      <xdr:nvSpPr>
        <xdr:cNvPr id="83" name="object 41">
          <a:extLst>
            <a:ext uri="{FF2B5EF4-FFF2-40B4-BE49-F238E27FC236}">
              <a16:creationId xmlns:a16="http://schemas.microsoft.com/office/drawing/2014/main" id="{4A4C606D-AE5F-41D6-8BFB-0076872E5484}"/>
            </a:ext>
          </a:extLst>
        </xdr:cNvPr>
        <xdr:cNvSpPr txBox="1"/>
      </xdr:nvSpPr>
      <xdr:spPr>
        <a:xfrm>
          <a:off x="101284" y="1810426"/>
          <a:ext cx="1087698" cy="244234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r>
            <a:rPr sz="1425" b="1" spc="15" baseline="2923">
              <a:solidFill>
                <a:srgbClr val="2E463A"/>
              </a:solidFill>
              <a:latin typeface="Trebuchet MS"/>
              <a:cs typeface="Trebuchet MS"/>
            </a:rPr>
            <a:t>Días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de</a:t>
          </a:r>
          <a:r>
            <a:rPr sz="1425" b="1" spc="-22" baseline="2923">
              <a:solidFill>
                <a:srgbClr val="2E463A"/>
              </a:solidFill>
              <a:latin typeface="Trebuchet MS"/>
              <a:cs typeface="Trebuchet MS"/>
            </a:rPr>
            <a:t> </a:t>
          </a:r>
          <a:r>
            <a:rPr sz="1425" b="1" spc="22" baseline="2923">
              <a:solidFill>
                <a:srgbClr val="2E463A"/>
              </a:solidFill>
              <a:latin typeface="Trebuchet MS"/>
              <a:cs typeface="Trebuchet MS"/>
            </a:rPr>
            <a:t>Consumo: </a:t>
          </a:r>
          <a:endParaRPr lang="es-MX" sz="850" b="1" spc="15" baseline="0">
            <a:solidFill>
              <a:srgbClr val="22362C"/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430161</xdr:colOff>
      <xdr:row>9</xdr:row>
      <xdr:rowOff>96200</xdr:rowOff>
    </xdr:from>
    <xdr:to>
      <xdr:col>1</xdr:col>
      <xdr:colOff>713579</xdr:colOff>
      <xdr:row>10</xdr:row>
      <xdr:rowOff>115221</xdr:rowOff>
    </xdr:to>
    <xdr:sp macro="" textlink="$O$54">
      <xdr:nvSpPr>
        <xdr:cNvPr id="84" name="object 41">
          <a:extLst>
            <a:ext uri="{FF2B5EF4-FFF2-40B4-BE49-F238E27FC236}">
              <a16:creationId xmlns:a16="http://schemas.microsoft.com/office/drawing/2014/main" id="{4477411E-196F-49E5-BE74-577B9D5F6BBE}"/>
            </a:ext>
          </a:extLst>
        </xdr:cNvPr>
        <xdr:cNvSpPr txBox="1"/>
      </xdr:nvSpPr>
      <xdr:spPr>
        <a:xfrm>
          <a:off x="1190625" y="1824527"/>
          <a:ext cx="283418" cy="211057"/>
        </a:xfrm>
        <a:prstGeom prst="rect">
          <a:avLst/>
        </a:prstGeom>
      </xdr:spPr>
      <xdr:txBody>
        <a:bodyPr vert="horz" wrap="square" lIns="0" tIns="31750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250"/>
            </a:spcBef>
          </a:pPr>
          <a:fld id="{143C8B3B-E59D-45BB-9462-B2B27DC423CC}" type="TxLink">
            <a:rPr lang="en-US" sz="1400" b="1" i="0" u="none" strike="noStrike" spc="22" baseline="2923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250"/>
              </a:spcBef>
            </a:pPr>
            <a:t>28</a:t>
          </a:fld>
          <a:endParaRPr sz="1400" b="1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0</xdr:col>
      <xdr:colOff>97344</xdr:colOff>
      <xdr:row>10</xdr:row>
      <xdr:rowOff>170813</xdr:rowOff>
    </xdr:from>
    <xdr:to>
      <xdr:col>0</xdr:col>
      <xdr:colOff>591207</xdr:colOff>
      <xdr:row>11</xdr:row>
      <xdr:rowOff>153822</xdr:rowOff>
    </xdr:to>
    <xdr:sp macro="" textlink="">
      <xdr:nvSpPr>
        <xdr:cNvPr id="85" name="object 41">
          <a:extLst>
            <a:ext uri="{FF2B5EF4-FFF2-40B4-BE49-F238E27FC236}">
              <a16:creationId xmlns:a16="http://schemas.microsoft.com/office/drawing/2014/main" id="{49C70A70-880D-4036-A7EC-36B66B1B2C1B}"/>
            </a:ext>
          </a:extLst>
        </xdr:cNvPr>
        <xdr:cNvSpPr txBox="1"/>
      </xdr:nvSpPr>
      <xdr:spPr>
        <a:xfrm>
          <a:off x="97344" y="2075813"/>
          <a:ext cx="493863" cy="173509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sz="950" b="1" spc="10">
              <a:solidFill>
                <a:srgbClr val="2E463A"/>
              </a:solidFill>
              <a:latin typeface="Trebuchet MS"/>
              <a:cs typeface="Trebuchet MS"/>
            </a:rPr>
            <a:t>Planta:</a:t>
          </a:r>
          <a:r>
            <a:rPr sz="950" b="1" spc="290">
              <a:solidFill>
                <a:srgbClr val="2E463A"/>
              </a:solidFill>
              <a:latin typeface="Trebuchet MS"/>
              <a:cs typeface="Trebuchet MS"/>
            </a:rPr>
            <a:t> </a:t>
          </a:r>
          <a:endParaRPr sz="1350" b="1" kern="1200" spc="0" baseline="3086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604468</xdr:colOff>
      <xdr:row>10</xdr:row>
      <xdr:rowOff>132713</xdr:rowOff>
    </xdr:from>
    <xdr:to>
      <xdr:col>2</xdr:col>
      <xdr:colOff>367862</xdr:colOff>
      <xdr:row>11</xdr:row>
      <xdr:rowOff>175290</xdr:rowOff>
    </xdr:to>
    <xdr:sp macro="" textlink="">
      <xdr:nvSpPr>
        <xdr:cNvPr id="86" name="object 41">
          <a:extLst>
            <a:ext uri="{FF2B5EF4-FFF2-40B4-BE49-F238E27FC236}">
              <a16:creationId xmlns:a16="http://schemas.microsoft.com/office/drawing/2014/main" id="{AC6F3C7A-0B8B-44CD-A6A9-2D978877E2A6}"/>
            </a:ext>
          </a:extLst>
        </xdr:cNvPr>
        <xdr:cNvSpPr txBox="1"/>
      </xdr:nvSpPr>
      <xdr:spPr>
        <a:xfrm>
          <a:off x="604468" y="2037713"/>
          <a:ext cx="1287394" cy="233077"/>
        </a:xfrm>
        <a:prstGeom prst="rect">
          <a:avLst/>
        </a:prstGeom>
      </xdr:spPr>
      <xdr:txBody>
        <a:bodyPr vert="horz" wrap="square" lIns="0" tIns="31750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4604">
            <a:lnSpc>
              <a:spcPct val="100000"/>
            </a:lnSpc>
            <a:spcBef>
              <a:spcPts val="155"/>
            </a:spcBef>
          </a:pPr>
          <a:r>
            <a:rPr lang="es-MX" sz="1350" b="1" kern="1200" spc="0" baseline="3086">
              <a:solidFill>
                <a:srgbClr val="22362C"/>
              </a:solidFill>
              <a:latin typeface="Trebuchet MS"/>
              <a:ea typeface="+mn-ea"/>
              <a:cs typeface="Trebuchet MS"/>
            </a:rPr>
            <a:t>LEMONT PORTERIA</a:t>
          </a:r>
          <a:endParaRPr lang="es-MX" sz="1350" b="1" kern="1200" spc="0" baseline="0">
            <a:solidFill>
              <a:srgbClr val="22362C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5</xdr:col>
      <xdr:colOff>138266</xdr:colOff>
      <xdr:row>28</xdr:row>
      <xdr:rowOff>125283</xdr:rowOff>
    </xdr:from>
    <xdr:to>
      <xdr:col>6</xdr:col>
      <xdr:colOff>245807</xdr:colOff>
      <xdr:row>30</xdr:row>
      <xdr:rowOff>42442</xdr:rowOff>
    </xdr:to>
    <xdr:sp macro="" textlink="$O$67">
      <xdr:nvSpPr>
        <xdr:cNvPr id="87" name="object 19">
          <a:extLst>
            <a:ext uri="{FF2B5EF4-FFF2-40B4-BE49-F238E27FC236}">
              <a16:creationId xmlns:a16="http://schemas.microsoft.com/office/drawing/2014/main" id="{1769AEBF-9383-409E-B88C-7DC2EAB243D1}"/>
            </a:ext>
          </a:extLst>
        </xdr:cNvPr>
        <xdr:cNvSpPr txBox="1"/>
      </xdr:nvSpPr>
      <xdr:spPr>
        <a:xfrm>
          <a:off x="3940585" y="5502299"/>
          <a:ext cx="868004" cy="301232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59B75E6E-97D4-4114-A35D-767B3E289EE0}" type="TxLink">
            <a:rPr lang="en-US" sz="105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7.744,24</a:t>
          </a:fld>
          <a:endParaRPr sz="105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6</xdr:col>
      <xdr:colOff>714375</xdr:colOff>
      <xdr:row>28</xdr:row>
      <xdr:rowOff>128310</xdr:rowOff>
    </xdr:from>
    <xdr:to>
      <xdr:col>8</xdr:col>
      <xdr:colOff>32618</xdr:colOff>
      <xdr:row>30</xdr:row>
      <xdr:rowOff>45469</xdr:rowOff>
    </xdr:to>
    <xdr:sp macro="" textlink="$O$68">
      <xdr:nvSpPr>
        <xdr:cNvPr id="88" name="object 19">
          <a:extLst>
            <a:ext uri="{FF2B5EF4-FFF2-40B4-BE49-F238E27FC236}">
              <a16:creationId xmlns:a16="http://schemas.microsoft.com/office/drawing/2014/main" id="{D8999F7D-E42B-46C2-9B96-C2E0EE81B090}"/>
            </a:ext>
          </a:extLst>
        </xdr:cNvPr>
        <xdr:cNvSpPr txBox="1"/>
      </xdr:nvSpPr>
      <xdr:spPr>
        <a:xfrm>
          <a:off x="5277157" y="5505326"/>
          <a:ext cx="839171" cy="301232"/>
        </a:xfrm>
        <a:prstGeom prst="rect">
          <a:avLst/>
        </a:prstGeom>
      </xdr:spPr>
      <xdr:txBody>
        <a:bodyPr vert="horz" wrap="square" lIns="0" tIns="13970" rIns="0" bIns="0" rtlCol="0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l">
            <a:lnSpc>
              <a:spcPct val="100000"/>
            </a:lnSpc>
            <a:spcBef>
              <a:spcPts val="110"/>
            </a:spcBef>
            <a:tabLst>
              <a:tab pos="1339850" algn="l"/>
            </a:tabLst>
          </a:pPr>
          <a:fld id="{B8EB0C98-E9DF-4299-9FE3-383A7357C8FC}" type="TxLink">
            <a:rPr lang="en-US" sz="1050" b="1" i="0" u="none" strike="noStrike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 algn="l">
              <a:lnSpc>
                <a:spcPct val="100000"/>
              </a:lnSpc>
              <a:spcBef>
                <a:spcPts val="110"/>
              </a:spcBef>
              <a:tabLst>
                <a:tab pos="1339850" algn="l"/>
              </a:tabLst>
            </a:pPr>
            <a:t>469,95</a:t>
          </a:fld>
          <a:endParaRPr sz="1050" baseline="2222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637877</xdr:colOff>
      <xdr:row>28</xdr:row>
      <xdr:rowOff>55490</xdr:rowOff>
    </xdr:from>
    <xdr:to>
      <xdr:col>2</xdr:col>
      <xdr:colOff>407115</xdr:colOff>
      <xdr:row>29</xdr:row>
      <xdr:rowOff>28371</xdr:rowOff>
    </xdr:to>
    <xdr:sp macro="" textlink="">
      <xdr:nvSpPr>
        <xdr:cNvPr id="89" name="object 25">
          <a:extLst>
            <a:ext uri="{FF2B5EF4-FFF2-40B4-BE49-F238E27FC236}">
              <a16:creationId xmlns:a16="http://schemas.microsoft.com/office/drawing/2014/main" id="{E126750B-8647-4613-8302-FBE7FFA03D20}"/>
            </a:ext>
          </a:extLst>
        </xdr:cNvPr>
        <xdr:cNvSpPr txBox="1"/>
      </xdr:nvSpPr>
      <xdr:spPr>
        <a:xfrm>
          <a:off x="1398341" y="5432506"/>
          <a:ext cx="529701" cy="164917"/>
        </a:xfrm>
        <a:prstGeom prst="rect">
          <a:avLst/>
        </a:prstGeom>
      </xdr:spPr>
      <xdr:txBody>
        <a:bodyPr vert="horz" wrap="square" lIns="0" tIns="1587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25"/>
            </a:spcBef>
          </a:pPr>
          <a:r>
            <a:rPr sz="1000" b="0" spc="15">
              <a:solidFill>
                <a:srgbClr val="22362C"/>
              </a:solidFill>
              <a:latin typeface="Trebuchet MS"/>
              <a:cs typeface="Trebuchet MS"/>
            </a:rPr>
            <a:t>k</a:t>
          </a:r>
          <a:r>
            <a:rPr lang="es-CO" sz="1000" b="0" spc="15">
              <a:solidFill>
                <a:srgbClr val="22362C"/>
              </a:solidFill>
              <a:latin typeface="Trebuchet MS"/>
              <a:cs typeface="Trebuchet MS"/>
            </a:rPr>
            <a:t>W</a:t>
          </a:r>
          <a:r>
            <a:rPr sz="1000" b="0" spc="15">
              <a:solidFill>
                <a:srgbClr val="22362C"/>
              </a:solidFill>
              <a:latin typeface="Trebuchet MS"/>
              <a:cs typeface="Trebuchet MS"/>
            </a:rPr>
            <a:t>h</a:t>
          </a:r>
          <a:endParaRPr sz="1000" b="0"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153628</xdr:colOff>
      <xdr:row>29</xdr:row>
      <xdr:rowOff>31698</xdr:rowOff>
    </xdr:from>
    <xdr:to>
      <xdr:col>2</xdr:col>
      <xdr:colOff>430160</xdr:colOff>
      <xdr:row>30</xdr:row>
      <xdr:rowOff>5860</xdr:rowOff>
    </xdr:to>
    <xdr:sp macro="" textlink="$O$59">
      <xdr:nvSpPr>
        <xdr:cNvPr id="91" name="object 26">
          <a:extLst>
            <a:ext uri="{FF2B5EF4-FFF2-40B4-BE49-F238E27FC236}">
              <a16:creationId xmlns:a16="http://schemas.microsoft.com/office/drawing/2014/main" id="{4769758D-472E-4E16-9594-E7BFE828F1BC}"/>
            </a:ext>
          </a:extLst>
        </xdr:cNvPr>
        <xdr:cNvSpPr txBox="1"/>
      </xdr:nvSpPr>
      <xdr:spPr>
        <a:xfrm flipH="1">
          <a:off x="914092" y="5600750"/>
          <a:ext cx="1036995" cy="166199"/>
        </a:xfrm>
        <a:prstGeom prst="rect">
          <a:avLst/>
        </a:prstGeom>
      </xdr:spPr>
      <xdr:txBody>
        <a:bodyPr vert="horz" wrap="square" lIns="0" tIns="17145" rIns="0" bIns="0" rtlCol="0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135"/>
            </a:spcBef>
          </a:pPr>
          <a:fld id="{E48109CA-D6DC-44A0-B9B6-2C6532FF4AEE}" type="TxLink">
            <a:rPr lang="en-US" sz="1000" b="1" i="0" u="none" strike="noStrike" spc="15" baseline="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12700">
              <a:lnSpc>
                <a:spcPct val="100000"/>
              </a:lnSpc>
              <a:spcBef>
                <a:spcPts val="135"/>
              </a:spcBef>
            </a:pPr>
            <a:t>$ 1.454,52</a:t>
          </a:fld>
          <a:endParaRPr sz="1000" b="1" baseline="3968">
            <a:solidFill>
              <a:schemeClr val="accent6">
                <a:lumMod val="50000"/>
              </a:schemeClr>
            </a:solidFill>
            <a:latin typeface="Trebuchet MS"/>
            <a:cs typeface="Trebuchet MS"/>
          </a:endParaRPr>
        </a:p>
      </xdr:txBody>
    </xdr:sp>
    <xdr:clientData/>
  </xdr:twoCellAnchor>
  <xdr:twoCellAnchor>
    <xdr:from>
      <xdr:col>1</xdr:col>
      <xdr:colOff>92177</xdr:colOff>
      <xdr:row>31</xdr:row>
      <xdr:rowOff>107540</xdr:rowOff>
    </xdr:from>
    <xdr:to>
      <xdr:col>2</xdr:col>
      <xdr:colOff>583791</xdr:colOff>
      <xdr:row>32</xdr:row>
      <xdr:rowOff>153276</xdr:rowOff>
    </xdr:to>
    <xdr:sp macro="" textlink="$O$60">
      <xdr:nvSpPr>
        <xdr:cNvPr id="106" name="CuadroTexto 105">
          <a:extLst>
            <a:ext uri="{FF2B5EF4-FFF2-40B4-BE49-F238E27FC236}">
              <a16:creationId xmlns:a16="http://schemas.microsoft.com/office/drawing/2014/main" id="{9236C2E5-781F-4879-9C57-4B9B0991317D}"/>
            </a:ext>
          </a:extLst>
        </xdr:cNvPr>
        <xdr:cNvSpPr txBox="1"/>
      </xdr:nvSpPr>
      <xdr:spPr>
        <a:xfrm>
          <a:off x="852641" y="6060665"/>
          <a:ext cx="1252077" cy="23777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99F3551-FE6D-48C7-BA70-1F6AF0F7DE19}" type="TxLink">
            <a:rPr lang="en-US" sz="1100" b="1" i="0" u="none" strike="noStrike" kern="1200" spc="5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algn="ctr"/>
            <a:t>$ 551.554,26</a:t>
          </a:fld>
          <a:endParaRPr lang="es-CO" sz="1100" b="1" u="none" kern="1200" spc="5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460029</xdr:colOff>
      <xdr:row>39</xdr:row>
      <xdr:rowOff>81420</xdr:rowOff>
    </xdr:from>
    <xdr:to>
      <xdr:col>2</xdr:col>
      <xdr:colOff>266026</xdr:colOff>
      <xdr:row>40</xdr:row>
      <xdr:rowOff>116015</xdr:rowOff>
    </xdr:to>
    <xdr:sp macro="" textlink="$O$62">
      <xdr:nvSpPr>
        <xdr:cNvPr id="107" name="CuadroTexto 106">
          <a:extLst>
            <a:ext uri="{FF2B5EF4-FFF2-40B4-BE49-F238E27FC236}">
              <a16:creationId xmlns:a16="http://schemas.microsoft.com/office/drawing/2014/main" id="{0648DAF7-62C1-42BF-A6A7-75AA5B7C7D84}"/>
            </a:ext>
          </a:extLst>
        </xdr:cNvPr>
        <xdr:cNvSpPr txBox="1"/>
      </xdr:nvSpPr>
      <xdr:spPr>
        <a:xfrm>
          <a:off x="460029" y="7570835"/>
          <a:ext cx="1326924" cy="2266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D2042E4-CC9F-406B-89ED-771EB4391DC2}" type="TxLink">
            <a:rPr lang="en-US" sz="750" b="0" i="0" u="none" strike="noStrike">
              <a:solidFill>
                <a:srgbClr val="000000"/>
              </a:solidFill>
              <a:effectLst/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2023-02</a:t>
          </a:fld>
          <a:endParaRPr lang="es-CO" sz="900" b="1" u="none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626680</xdr:colOff>
      <xdr:row>40</xdr:row>
      <xdr:rowOff>17078</xdr:rowOff>
    </xdr:from>
    <xdr:to>
      <xdr:col>1</xdr:col>
      <xdr:colOff>645949</xdr:colOff>
      <xdr:row>41</xdr:row>
      <xdr:rowOff>32845</xdr:rowOff>
    </xdr:to>
    <xdr:sp macro="" textlink="$O$63">
      <xdr:nvSpPr>
        <xdr:cNvPr id="108" name="CuadroTexto 107">
          <a:extLst>
            <a:ext uri="{FF2B5EF4-FFF2-40B4-BE49-F238E27FC236}">
              <a16:creationId xmlns:a16="http://schemas.microsoft.com/office/drawing/2014/main" id="{5544EE16-6AF3-4FB3-8CF6-11059FB5E8E9}"/>
            </a:ext>
          </a:extLst>
        </xdr:cNvPr>
        <xdr:cNvSpPr txBox="1"/>
      </xdr:nvSpPr>
      <xdr:spPr>
        <a:xfrm>
          <a:off x="626680" y="7461906"/>
          <a:ext cx="785648" cy="20188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CE83C39-DFB0-4565-BCCA-402A9DE47FEF}" type="TxLink">
            <a:rPr lang="en-US" sz="800" b="1" i="0" u="none" strike="noStrike" kern="1200" spc="1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FACT_002</a:t>
          </a:fld>
          <a:endParaRPr lang="es-CO"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0</xdr:col>
      <xdr:colOff>470338</xdr:colOff>
      <xdr:row>41</xdr:row>
      <xdr:rowOff>169480</xdr:rowOff>
    </xdr:from>
    <xdr:to>
      <xdr:col>3</xdr:col>
      <xdr:colOff>275897</xdr:colOff>
      <xdr:row>42</xdr:row>
      <xdr:rowOff>183932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B7B9D518-4B47-41C0-9178-780CC5F0A027}"/>
            </a:ext>
          </a:extLst>
        </xdr:cNvPr>
        <xdr:cNvSpPr txBox="1"/>
      </xdr:nvSpPr>
      <xdr:spPr>
        <a:xfrm>
          <a:off x="470338" y="7979980"/>
          <a:ext cx="2091559" cy="2049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38100" indent="0" algn="l" defTabSz="914400" rtl="0" eaLnBrk="1" latinLnBrk="0" hangingPunct="1">
            <a:lnSpc>
              <a:spcPct val="100000"/>
            </a:lnSpc>
            <a:spcBef>
              <a:spcPts val="340"/>
            </a:spcBef>
          </a:pPr>
          <a:r>
            <a:rPr lang="es-CO" sz="800" b="1" kern="1200" spc="15" baseline="0">
              <a:solidFill>
                <a:srgbClr val="22362C"/>
              </a:solidFill>
              <a:latin typeface="Trebuchet MS"/>
              <a:ea typeface="+mn-ea"/>
              <a:cs typeface="Trebuchet MS"/>
            </a:rPr>
            <a:t>CONJUNTO RESIDENCIAL LEMONT 1PH</a:t>
          </a:r>
        </a:p>
        <a:p>
          <a:endParaRPr lang="es-CO" sz="900" b="1" u="none" kern="1200" spc="5">
            <a:solidFill>
              <a:srgbClr val="2E463A"/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694996</xdr:colOff>
      <xdr:row>40</xdr:row>
      <xdr:rowOff>164224</xdr:rowOff>
    </xdr:from>
    <xdr:to>
      <xdr:col>1</xdr:col>
      <xdr:colOff>518948</xdr:colOff>
      <xdr:row>42</xdr:row>
      <xdr:rowOff>19708</xdr:rowOff>
    </xdr:to>
    <xdr:sp macro="" textlink="$O$64">
      <xdr:nvSpPr>
        <xdr:cNvPr id="110" name="CuadroTexto 109">
          <a:extLst>
            <a:ext uri="{FF2B5EF4-FFF2-40B4-BE49-F238E27FC236}">
              <a16:creationId xmlns:a16="http://schemas.microsoft.com/office/drawing/2014/main" id="{43DA515E-D019-4A05-8EE9-C35B4033EBC1}"/>
            </a:ext>
          </a:extLst>
        </xdr:cNvPr>
        <xdr:cNvSpPr txBox="1"/>
      </xdr:nvSpPr>
      <xdr:spPr>
        <a:xfrm>
          <a:off x="694996" y="7784224"/>
          <a:ext cx="585952" cy="2364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6A5FFA-8A30-4BB8-A11F-047C856AAE26}" type="TxLink">
            <a:rPr lang="en-US" sz="900" b="1" i="0" u="none" strike="noStrike" kern="1200">
              <a:solidFill>
                <a:schemeClr val="accent6">
                  <a:lumMod val="50000"/>
                </a:schemeClr>
              </a:solidFill>
              <a:latin typeface="Trebuchet MS"/>
              <a:ea typeface="Calibri"/>
              <a:cs typeface="Calibri"/>
            </a:rPr>
            <a:pPr/>
            <a:t>CONT_002</a:t>
          </a:fld>
          <a:endParaRPr lang="es-CO" sz="900" b="1" kern="1200">
            <a:solidFill>
              <a:schemeClr val="accent6">
                <a:lumMod val="50000"/>
              </a:schemeClr>
            </a:solidFill>
            <a:latin typeface="Trebuchet MS"/>
            <a:ea typeface="+mn-ea"/>
            <a:cs typeface="Trebuchet MS"/>
          </a:endParaRPr>
        </a:p>
      </xdr:txBody>
    </xdr:sp>
    <xdr:clientData/>
  </xdr:twoCellAnchor>
  <xdr:twoCellAnchor>
    <xdr:from>
      <xdr:col>0</xdr:col>
      <xdr:colOff>262758</xdr:colOff>
      <xdr:row>42</xdr:row>
      <xdr:rowOff>151287</xdr:rowOff>
    </xdr:from>
    <xdr:to>
      <xdr:col>1</xdr:col>
      <xdr:colOff>295604</xdr:colOff>
      <xdr:row>44</xdr:row>
      <xdr:rowOff>51439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5BBD6D85-84A3-4112-B762-5DA882A3D277}"/>
            </a:ext>
          </a:extLst>
        </xdr:cNvPr>
        <xdr:cNvSpPr txBox="1"/>
      </xdr:nvSpPr>
      <xdr:spPr>
        <a:xfrm>
          <a:off x="262758" y="8216811"/>
          <a:ext cx="793310" cy="2842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350" b="1" kern="1200" spc="7" baseline="3086">
              <a:solidFill>
                <a:srgbClr val="2E463A"/>
              </a:solidFill>
              <a:latin typeface="Trebuchet MS"/>
              <a:ea typeface="+mn-ea"/>
              <a:cs typeface="Trebuchet MS"/>
            </a:rPr>
            <a:t>901064820</a:t>
          </a:r>
        </a:p>
      </xdr:txBody>
    </xdr:sp>
    <xdr:clientData/>
  </xdr:twoCellAnchor>
  <xdr:twoCellAnchor>
    <xdr:from>
      <xdr:col>5</xdr:col>
      <xdr:colOff>23980</xdr:colOff>
      <xdr:row>45</xdr:row>
      <xdr:rowOff>54035</xdr:rowOff>
    </xdr:from>
    <xdr:to>
      <xdr:col>6</xdr:col>
      <xdr:colOff>472025</xdr:colOff>
      <xdr:row>46</xdr:row>
      <xdr:rowOff>11993</xdr:rowOff>
    </xdr:to>
    <xdr:sp macro="" textlink="$O$69">
      <xdr:nvSpPr>
        <xdr:cNvPr id="112" name="CuadroTexto 111">
          <a:extLst>
            <a:ext uri="{FF2B5EF4-FFF2-40B4-BE49-F238E27FC236}">
              <a16:creationId xmlns:a16="http://schemas.microsoft.com/office/drawing/2014/main" id="{927E4243-86FB-4EFE-95DF-B7276FB43CC9}"/>
            </a:ext>
          </a:extLst>
        </xdr:cNvPr>
        <xdr:cNvSpPr txBox="1"/>
      </xdr:nvSpPr>
      <xdr:spPr>
        <a:xfrm>
          <a:off x="3826299" y="8695668"/>
          <a:ext cx="1208508" cy="14999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B71B4C-395F-4F4B-A29E-B1821C6E1EC2}" type="TxLink">
            <a:rPr lang="en-US" sz="500" b="1" i="0" u="none" strike="noStrike" kern="1200" baseline="0">
              <a:solidFill>
                <a:schemeClr val="accent6">
                  <a:lumMod val="50000"/>
                </a:schemeClr>
              </a:solidFill>
              <a:latin typeface="Trebuchet MS" panose="020B0603020202020204" pitchFamily="34" charset="0"/>
              <a:ea typeface="Calibri"/>
              <a:cs typeface="Arial"/>
            </a:rPr>
            <a:pPr/>
            <a:t>CUFEASDASD4654F65SA1555D</a:t>
          </a:fld>
          <a:endParaRPr lang="es-CO" sz="500" b="1" i="0" u="none" strike="noStrike" kern="1200" baseline="0">
            <a:solidFill>
              <a:schemeClr val="accent6">
                <a:lumMod val="50000"/>
              </a:schemeClr>
            </a:solidFill>
            <a:latin typeface="Trebuchet MS" panose="020B0603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587266</xdr:colOff>
      <xdr:row>45</xdr:row>
      <xdr:rowOff>141890</xdr:rowOff>
    </xdr:from>
    <xdr:to>
      <xdr:col>6</xdr:col>
      <xdr:colOff>394139</xdr:colOff>
      <xdr:row>46</xdr:row>
      <xdr:rowOff>170793</xdr:rowOff>
    </xdr:to>
    <xdr:sp macro="" textlink="$O$70">
      <xdr:nvSpPr>
        <xdr:cNvPr id="113" name="CuadroTexto 112">
          <a:extLst>
            <a:ext uri="{FF2B5EF4-FFF2-40B4-BE49-F238E27FC236}">
              <a16:creationId xmlns:a16="http://schemas.microsoft.com/office/drawing/2014/main" id="{3D99ADC8-1387-442D-87D9-3D1B28AA82D0}"/>
            </a:ext>
          </a:extLst>
        </xdr:cNvPr>
        <xdr:cNvSpPr txBox="1"/>
      </xdr:nvSpPr>
      <xdr:spPr>
        <a:xfrm>
          <a:off x="4397266" y="8714390"/>
          <a:ext cx="568873" cy="2194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8FE5693-B410-4FBD-8A65-C8EE97FE2AED}" type="TxLink">
            <a:rPr lang="en-US" sz="700" b="0" i="0" u="none" strike="noStrike" kern="1200" spc="15" baseline="5050">
              <a:solidFill>
                <a:srgbClr val="000000"/>
              </a:solidFill>
              <a:latin typeface="Trebuchet MS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1/02/2023</a:t>
          </a:fld>
          <a:endParaRPr lang="es-CO" sz="700" b="0" kern="1200" spc="15" baseline="5050">
            <a:solidFill>
              <a:srgbClr val="34523B"/>
            </a:solidFill>
            <a:latin typeface="Trebuchet MS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243052</xdr:colOff>
      <xdr:row>31</xdr:row>
      <xdr:rowOff>45983</xdr:rowOff>
    </xdr:from>
    <xdr:to>
      <xdr:col>4</xdr:col>
      <xdr:colOff>315310</xdr:colOff>
      <xdr:row>32</xdr:row>
      <xdr:rowOff>98535</xdr:rowOff>
    </xdr:to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F3592A28-86D4-C13E-084B-80B0132C6DA0}"/>
            </a:ext>
          </a:extLst>
        </xdr:cNvPr>
        <xdr:cNvSpPr txBox="1"/>
      </xdr:nvSpPr>
      <xdr:spPr>
        <a:xfrm>
          <a:off x="2529052" y="5951483"/>
          <a:ext cx="834258" cy="24305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800">
              <a:solidFill>
                <a:schemeClr val="bg1"/>
              </a:solidFill>
              <a:latin typeface="Trebuchet MS" panose="020B0603020202020204" pitchFamily="34" charset="0"/>
            </a:rPr>
            <a:t>Pagar hasta el</a:t>
          </a:r>
        </a:p>
      </xdr:txBody>
    </xdr:sp>
    <xdr:clientData/>
  </xdr:twoCellAnchor>
  <xdr:twoCellAnchor>
    <xdr:from>
      <xdr:col>3</xdr:col>
      <xdr:colOff>122904</xdr:colOff>
      <xdr:row>32</xdr:row>
      <xdr:rowOff>201</xdr:rowOff>
    </xdr:from>
    <xdr:to>
      <xdr:col>4</xdr:col>
      <xdr:colOff>436996</xdr:colOff>
      <xdr:row>33</xdr:row>
      <xdr:rowOff>25163</xdr:rowOff>
    </xdr:to>
    <xdr:sp macro="" textlink="$O$61">
      <xdr:nvSpPr>
        <xdr:cNvPr id="116" name="CuadroTexto 115">
          <a:extLst>
            <a:ext uri="{FF2B5EF4-FFF2-40B4-BE49-F238E27FC236}">
              <a16:creationId xmlns:a16="http://schemas.microsoft.com/office/drawing/2014/main" id="{8AD2DDDB-D32D-4E6B-9D92-D02DEB534E6D}"/>
            </a:ext>
          </a:extLst>
        </xdr:cNvPr>
        <xdr:cNvSpPr txBox="1"/>
      </xdr:nvSpPr>
      <xdr:spPr>
        <a:xfrm>
          <a:off x="2404295" y="6145362"/>
          <a:ext cx="1074556" cy="2169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9BF08C9-D3D5-4043-8E01-9603CC8987EC}" type="TxLink">
            <a:rPr lang="en-US" sz="800" b="0" i="0" u="none" strike="noStrike">
              <a:solidFill>
                <a:srgbClr val="FFFFFF"/>
              </a:solidFill>
              <a:latin typeface="Trebuchet MS"/>
              <a:ea typeface="Calibri"/>
              <a:cs typeface="Calibri"/>
            </a:rPr>
            <a:pPr algn="ctr"/>
            <a:t>1/03/2023</a:t>
          </a:fld>
          <a:endParaRPr lang="es-CO" sz="800">
            <a:solidFill>
              <a:schemeClr val="bg1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231913</xdr:colOff>
      <xdr:row>24</xdr:row>
      <xdr:rowOff>149087</xdr:rowOff>
    </xdr:from>
    <xdr:to>
      <xdr:col>3</xdr:col>
      <xdr:colOff>319426</xdr:colOff>
      <xdr:row>27</xdr:row>
      <xdr:rowOff>149087</xdr:rowOff>
    </xdr:to>
    <xdr:sp macro="" textlink="$O$57">
      <xdr:nvSpPr>
        <xdr:cNvPr id="103" name="object 21">
          <a:extLst>
            <a:ext uri="{FF2B5EF4-FFF2-40B4-BE49-F238E27FC236}">
              <a16:creationId xmlns:a16="http://schemas.microsoft.com/office/drawing/2014/main" id="{7DF16251-1E9E-4E7A-B75B-639FC03ED8E4}"/>
            </a:ext>
          </a:extLst>
        </xdr:cNvPr>
        <xdr:cNvSpPr txBox="1"/>
      </xdr:nvSpPr>
      <xdr:spPr>
        <a:xfrm>
          <a:off x="231913" y="4721087"/>
          <a:ext cx="2373513" cy="571500"/>
        </a:xfrm>
        <a:prstGeom prst="rect">
          <a:avLst/>
        </a:prstGeom>
      </xdr:spPr>
      <xdr:txBody>
        <a:bodyPr vert="horz" wrap="square" lIns="0" tIns="67945" rIns="0" bIns="0" rtlCol="0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>
            <a:lnSpc>
              <a:spcPct val="100000"/>
            </a:lnSpc>
            <a:spcBef>
              <a:spcPts val="535"/>
            </a:spcBef>
          </a:pPr>
          <a:fld id="{FD1D8158-DDB5-423A-B484-F65CAFF4EBB5}" type="TxLink">
            <a:rPr lang="en-US" sz="750" b="0" i="0" u="none" strike="noStrike" spc="5">
              <a:solidFill>
                <a:srgbClr val="000000"/>
              </a:solidFill>
              <a:latin typeface="Trebuchet MS"/>
              <a:cs typeface="Trebuchet MS"/>
            </a:rPr>
            <a:pPr marL="12700">
              <a:lnSpc>
                <a:spcPct val="100000"/>
              </a:lnSpc>
              <a:spcBef>
                <a:spcPts val="535"/>
              </a:spcBef>
            </a:pPr>
            <a:t>Concepto2</a:t>
          </a:fld>
          <a:endParaRPr sz="750" b="0">
            <a:latin typeface="Trebuchet MS"/>
            <a:cs typeface="Trebuchet M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món Fernández Patiño" id="{1D8E40E9-670E-4DFD-965E-C3240D44BC65}" userId="S::ramon.fernandez@edemco.co::83ac4bf8-513b-4112-96df-1f04505deeec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7-07T03:26:02.63" personId="{1D8E40E9-670E-4DFD-965E-C3240D44BC65}" id="{BF9AC320-59E0-4DE1-AA1C-9CB6BBF3CCD6}">
    <text>Promedio de generación. Debido a perdida de internet en el sitio del proyecto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FEE9-2854-4E76-85E9-213011E1040C}">
  <sheetPr codeName="Hoja7"/>
  <dimension ref="B3:R21"/>
  <sheetViews>
    <sheetView topLeftCell="C5" workbookViewId="0">
      <pane ySplit="1" topLeftCell="A6" activePane="bottomLeft" state="frozen"/>
      <selection activeCell="A5" sqref="A5"/>
      <selection pane="bottomLeft" activeCell="H15" sqref="H15"/>
    </sheetView>
  </sheetViews>
  <sheetFormatPr baseColWidth="10" defaultColWidth="11.42578125" defaultRowHeight="15" x14ac:dyDescent="0.25"/>
  <cols>
    <col min="2" max="2" width="13.5703125" style="28" bestFit="1" customWidth="1"/>
    <col min="6" max="6" width="14.28515625" bestFit="1" customWidth="1"/>
    <col min="7" max="7" width="8.7109375" bestFit="1" customWidth="1"/>
    <col min="8" max="8" width="12.7109375" bestFit="1" customWidth="1"/>
    <col min="9" max="9" width="17.42578125" customWidth="1"/>
    <col min="10" max="10" width="14.28515625" bestFit="1" customWidth="1"/>
    <col min="11" max="11" width="16.28515625" bestFit="1" customWidth="1"/>
    <col min="12" max="12" width="11.140625" bestFit="1" customWidth="1"/>
    <col min="13" max="13" width="15" bestFit="1" customWidth="1"/>
    <col min="15" max="15" width="15" style="28" customWidth="1"/>
    <col min="16" max="16" width="15.28515625" customWidth="1"/>
    <col min="17" max="17" width="11" customWidth="1"/>
    <col min="18" max="18" width="18" customWidth="1"/>
  </cols>
  <sheetData>
    <row r="3" spans="2:18" x14ac:dyDescent="0.25">
      <c r="C3" s="11">
        <f>AVERAGE(C6:C10)</f>
        <v>1612.319982</v>
      </c>
    </row>
    <row r="5" spans="2:18" ht="30" x14ac:dyDescent="0.25">
      <c r="B5" s="5" t="s">
        <v>33</v>
      </c>
      <c r="C5" s="4" t="s">
        <v>32</v>
      </c>
      <c r="D5" s="5" t="s">
        <v>0</v>
      </c>
      <c r="E5" s="4" t="s">
        <v>1</v>
      </c>
      <c r="F5" s="4" t="s">
        <v>2</v>
      </c>
      <c r="G5" s="4" t="s">
        <v>3</v>
      </c>
      <c r="H5" s="4" t="s">
        <v>4</v>
      </c>
      <c r="I5" s="4" t="s">
        <v>5</v>
      </c>
      <c r="J5" s="4" t="s">
        <v>6</v>
      </c>
      <c r="K5" s="4" t="s">
        <v>7</v>
      </c>
      <c r="L5" s="4" t="s">
        <v>8</v>
      </c>
      <c r="M5" s="4" t="s">
        <v>9</v>
      </c>
    </row>
    <row r="6" spans="2:18" x14ac:dyDescent="0.25">
      <c r="B6" s="29" t="s">
        <v>36</v>
      </c>
      <c r="C6" s="2">
        <v>1796</v>
      </c>
      <c r="D6" s="2"/>
      <c r="E6" s="1">
        <v>512.75615765004261</v>
      </c>
      <c r="F6" s="16"/>
      <c r="G6" s="1">
        <v>1009</v>
      </c>
      <c r="H6" s="1"/>
      <c r="I6" s="1"/>
      <c r="J6" s="3">
        <v>891253.94086052349</v>
      </c>
      <c r="K6" s="3"/>
      <c r="L6" s="6"/>
      <c r="M6" s="6"/>
    </row>
    <row r="7" spans="2:18" x14ac:dyDescent="0.25">
      <c r="B7" s="29">
        <v>45346</v>
      </c>
      <c r="C7" s="2">
        <v>1599.39995</v>
      </c>
      <c r="D7" s="2"/>
      <c r="E7" s="1">
        <v>512.75615765004261</v>
      </c>
      <c r="F7" s="16"/>
      <c r="G7" s="1">
        <v>974.72</v>
      </c>
      <c r="H7" s="1"/>
      <c r="I7" s="1"/>
      <c r="J7" s="3">
        <v>738864.94635632972</v>
      </c>
      <c r="K7" s="3"/>
      <c r="L7" s="6"/>
      <c r="M7" s="6"/>
    </row>
    <row r="8" spans="2:18" x14ac:dyDescent="0.25">
      <c r="B8" s="29">
        <v>45375</v>
      </c>
      <c r="C8" s="2">
        <v>1733.0998999999999</v>
      </c>
      <c r="D8" s="2"/>
      <c r="E8" s="1">
        <v>512.75615765004261</v>
      </c>
      <c r="F8" s="16"/>
      <c r="G8" s="1">
        <v>990.84</v>
      </c>
      <c r="H8" s="1"/>
      <c r="I8" s="1"/>
      <c r="J8" s="3">
        <v>828567.05936832691</v>
      </c>
      <c r="K8" s="3"/>
      <c r="L8" s="6"/>
      <c r="M8" s="6"/>
    </row>
    <row r="9" spans="2:18" x14ac:dyDescent="0.25">
      <c r="B9" s="29" t="s">
        <v>37</v>
      </c>
      <c r="C9" s="2">
        <v>1506.7001</v>
      </c>
      <c r="D9" s="2"/>
      <c r="E9" s="1">
        <v>512.75615765004261</v>
      </c>
      <c r="F9" s="16"/>
      <c r="G9" s="1">
        <v>1009.04</v>
      </c>
      <c r="H9" s="1"/>
      <c r="I9" s="1"/>
      <c r="J9" s="3">
        <v>747750.91489706503</v>
      </c>
      <c r="K9" s="3"/>
      <c r="L9" s="6"/>
      <c r="M9" s="6"/>
    </row>
    <row r="10" spans="2:18" x14ac:dyDescent="0.25">
      <c r="B10" s="29">
        <v>45436</v>
      </c>
      <c r="C10" s="2">
        <v>1426.39996</v>
      </c>
      <c r="D10" s="2"/>
      <c r="E10" s="1">
        <v>512.75615765004261</v>
      </c>
      <c r="F10" s="16"/>
      <c r="G10" s="1">
        <v>1062.3599999999999</v>
      </c>
      <c r="H10" s="1"/>
      <c r="I10" s="1"/>
      <c r="J10" s="3">
        <v>783954.89874382538</v>
      </c>
      <c r="K10" s="3"/>
      <c r="L10" s="6"/>
      <c r="M10" s="6"/>
    </row>
    <row r="11" spans="2:18" x14ac:dyDescent="0.25">
      <c r="B11" s="29">
        <v>45467</v>
      </c>
      <c r="C11" s="12">
        <v>1486.4000599999999</v>
      </c>
      <c r="D11" s="12"/>
      <c r="E11" s="1">
        <v>512.75615765004261</v>
      </c>
      <c r="F11" s="16"/>
      <c r="G11" s="1">
        <v>941.82</v>
      </c>
      <c r="H11" s="1"/>
      <c r="I11" s="1"/>
      <c r="J11" s="3">
        <v>637760.52101280726</v>
      </c>
      <c r="K11" s="3"/>
      <c r="L11" s="13"/>
      <c r="M11" s="13"/>
    </row>
    <row r="12" spans="2:18" x14ac:dyDescent="0.25">
      <c r="C12" s="11"/>
      <c r="J12" s="7"/>
    </row>
    <row r="13" spans="2:18" x14ac:dyDescent="0.25">
      <c r="F13" s="15"/>
    </row>
    <row r="15" spans="2:18" x14ac:dyDescent="0.25">
      <c r="P15" s="14" t="s">
        <v>10</v>
      </c>
      <c r="Q15" s="14" t="s">
        <v>11</v>
      </c>
      <c r="R15" s="14" t="s">
        <v>12</v>
      </c>
    </row>
    <row r="16" spans="2:18" x14ac:dyDescent="0.25">
      <c r="O16" s="30" t="str">
        <f>B6</f>
        <v>Ene-24</v>
      </c>
      <c r="P16" s="1">
        <f>G6</f>
        <v>1009</v>
      </c>
      <c r="Q16" s="1">
        <f>E6</f>
        <v>512.75615765004261</v>
      </c>
      <c r="R16" s="8">
        <f t="shared" ref="R16:R21" si="0">J6</f>
        <v>891253.94086052349</v>
      </c>
    </row>
    <row r="17" spans="5:18" x14ac:dyDescent="0.25">
      <c r="E17" s="9"/>
      <c r="O17" s="30">
        <f t="shared" ref="O17:O21" si="1">B7</f>
        <v>45346</v>
      </c>
      <c r="P17" s="1">
        <f t="shared" ref="P17:P21" si="2">G7</f>
        <v>974.72</v>
      </c>
      <c r="Q17" s="1">
        <f t="shared" ref="Q17:Q21" si="3">E7</f>
        <v>512.75615765004261</v>
      </c>
      <c r="R17" s="8">
        <f t="shared" si="0"/>
        <v>738864.94635632972</v>
      </c>
    </row>
    <row r="18" spans="5:18" x14ac:dyDescent="0.25">
      <c r="O18" s="30">
        <f t="shared" si="1"/>
        <v>45375</v>
      </c>
      <c r="P18" s="1">
        <f t="shared" si="2"/>
        <v>990.84</v>
      </c>
      <c r="Q18" s="1">
        <f t="shared" si="3"/>
        <v>512.75615765004261</v>
      </c>
      <c r="R18" s="8">
        <f t="shared" si="0"/>
        <v>828567.05936832691</v>
      </c>
    </row>
    <row r="19" spans="5:18" x14ac:dyDescent="0.25">
      <c r="E19" s="9"/>
      <c r="O19" s="30" t="str">
        <f t="shared" si="1"/>
        <v>Abr-24</v>
      </c>
      <c r="P19" s="1">
        <f t="shared" si="2"/>
        <v>1009.04</v>
      </c>
      <c r="Q19" s="1">
        <f t="shared" si="3"/>
        <v>512.75615765004261</v>
      </c>
      <c r="R19" s="8">
        <f t="shared" si="0"/>
        <v>747750.91489706503</v>
      </c>
    </row>
    <row r="20" spans="5:18" x14ac:dyDescent="0.25">
      <c r="O20" s="30">
        <f t="shared" si="1"/>
        <v>45436</v>
      </c>
      <c r="P20" s="1">
        <f t="shared" si="2"/>
        <v>1062.3599999999999</v>
      </c>
      <c r="Q20" s="1">
        <f t="shared" si="3"/>
        <v>512.75615765004261</v>
      </c>
      <c r="R20" s="8">
        <f t="shared" si="0"/>
        <v>783954.89874382538</v>
      </c>
    </row>
    <row r="21" spans="5:18" x14ac:dyDescent="0.25">
      <c r="O21" s="30">
        <f t="shared" si="1"/>
        <v>45467</v>
      </c>
      <c r="P21" s="1">
        <f t="shared" si="2"/>
        <v>941.82</v>
      </c>
      <c r="Q21" s="1">
        <f t="shared" si="3"/>
        <v>512.75615765004261</v>
      </c>
      <c r="R21" s="8">
        <f t="shared" si="0"/>
        <v>637760.52101280726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0DEF4-208F-4799-9163-FF6A583C6D37}">
  <sheetPr codeName="Hoja12">
    <pageSetUpPr fitToPage="1"/>
  </sheetPr>
  <dimension ref="L24:O70"/>
  <sheetViews>
    <sheetView tabSelected="1" topLeftCell="A28" zoomScale="124" zoomScaleNormal="124" zoomScaleSheetLayoutView="100" workbookViewId="0">
      <selection activeCell="K41" sqref="K41"/>
    </sheetView>
  </sheetViews>
  <sheetFormatPr baseColWidth="10" defaultColWidth="11.42578125" defaultRowHeight="15" x14ac:dyDescent="0.25"/>
  <cols>
    <col min="9" max="9" width="11.85546875" customWidth="1"/>
    <col min="10" max="10" width="3.5703125" customWidth="1"/>
    <col min="12" max="12" width="20.85546875" bestFit="1" customWidth="1"/>
    <col min="14" max="14" width="18.42578125" bestFit="1" customWidth="1"/>
    <col min="15" max="15" width="24.85546875" customWidth="1"/>
  </cols>
  <sheetData>
    <row r="24" spans="12:12" x14ac:dyDescent="0.25">
      <c r="L24" s="27"/>
    </row>
    <row r="52" spans="12:15" ht="15.75" x14ac:dyDescent="0.3">
      <c r="L52" s="10" t="s">
        <v>34</v>
      </c>
      <c r="M52">
        <v>1</v>
      </c>
      <c r="N52" s="18" t="s">
        <v>13</v>
      </c>
      <c r="O52" s="20">
        <v>44958</v>
      </c>
    </row>
    <row r="53" spans="12:15" ht="15.75" x14ac:dyDescent="0.3">
      <c r="M53">
        <v>2</v>
      </c>
      <c r="N53" s="18" t="s">
        <v>14</v>
      </c>
      <c r="O53" s="20">
        <v>44985</v>
      </c>
    </row>
    <row r="54" spans="12:15" ht="18" x14ac:dyDescent="0.35">
      <c r="M54">
        <v>3</v>
      </c>
      <c r="N54" s="17" t="s">
        <v>15</v>
      </c>
      <c r="O54" s="26">
        <v>28</v>
      </c>
    </row>
    <row r="55" spans="12:15" ht="18" x14ac:dyDescent="0.35">
      <c r="M55">
        <v>4</v>
      </c>
      <c r="N55" s="18" t="s">
        <v>16</v>
      </c>
      <c r="O55" s="34">
        <v>1546523.4525250001</v>
      </c>
    </row>
    <row r="56" spans="12:15" ht="18" x14ac:dyDescent="0.35">
      <c r="M56">
        <v>5</v>
      </c>
      <c r="N56" s="17" t="s">
        <v>17</v>
      </c>
      <c r="O56" s="34">
        <v>9825361.6234499998</v>
      </c>
    </row>
    <row r="57" spans="12:15" x14ac:dyDescent="0.25">
      <c r="M57">
        <v>6</v>
      </c>
      <c r="N57" s="17" t="s">
        <v>18</v>
      </c>
      <c r="O57" s="21" t="s">
        <v>38</v>
      </c>
    </row>
    <row r="58" spans="12:15" x14ac:dyDescent="0.25">
      <c r="M58">
        <v>7</v>
      </c>
      <c r="N58" s="17" t="s">
        <v>19</v>
      </c>
      <c r="O58" s="33">
        <v>1598.425</v>
      </c>
    </row>
    <row r="59" spans="12:15" x14ac:dyDescent="0.25">
      <c r="M59">
        <v>8</v>
      </c>
      <c r="N59" s="17" t="s">
        <v>20</v>
      </c>
      <c r="O59" s="32">
        <v>1454.52</v>
      </c>
    </row>
    <row r="60" spans="12:15" ht="18" x14ac:dyDescent="0.35">
      <c r="M60">
        <v>9</v>
      </c>
      <c r="N60" s="17" t="s">
        <v>21</v>
      </c>
      <c r="O60" s="31">
        <v>551554.25549999997</v>
      </c>
    </row>
    <row r="61" spans="12:15" ht="15.75" x14ac:dyDescent="0.3">
      <c r="M61">
        <v>10</v>
      </c>
      <c r="N61" s="17" t="s">
        <v>22</v>
      </c>
      <c r="O61" s="25">
        <v>44986</v>
      </c>
    </row>
    <row r="62" spans="12:15" x14ac:dyDescent="0.25">
      <c r="M62">
        <v>11</v>
      </c>
      <c r="N62" s="17" t="s">
        <v>23</v>
      </c>
      <c r="O62" s="21" t="s">
        <v>39</v>
      </c>
    </row>
    <row r="63" spans="12:15" ht="15.75" x14ac:dyDescent="0.3">
      <c r="M63">
        <v>12</v>
      </c>
      <c r="N63" s="18" t="s">
        <v>24</v>
      </c>
      <c r="O63" s="23" t="s">
        <v>40</v>
      </c>
    </row>
    <row r="64" spans="12:15" ht="16.5" x14ac:dyDescent="0.35">
      <c r="M64">
        <v>13</v>
      </c>
      <c r="N64" s="18" t="s">
        <v>25</v>
      </c>
      <c r="O64" s="22" t="s">
        <v>41</v>
      </c>
    </row>
    <row r="65" spans="13:15" ht="18" x14ac:dyDescent="0.35">
      <c r="M65">
        <v>14</v>
      </c>
      <c r="N65" s="18" t="s">
        <v>26</v>
      </c>
      <c r="O65" s="35">
        <v>94586268511.755005</v>
      </c>
    </row>
    <row r="66" spans="13:15" ht="18" x14ac:dyDescent="0.35">
      <c r="M66">
        <v>15</v>
      </c>
      <c r="N66" s="17" t="s">
        <v>27</v>
      </c>
      <c r="O66" s="35">
        <v>659458.52500000002</v>
      </c>
    </row>
    <row r="67" spans="13:15" ht="18" x14ac:dyDescent="0.35">
      <c r="M67">
        <v>16</v>
      </c>
      <c r="N67" s="18" t="s">
        <v>28</v>
      </c>
      <c r="O67" s="36">
        <v>7744.24</v>
      </c>
    </row>
    <row r="68" spans="13:15" ht="18" x14ac:dyDescent="0.35">
      <c r="M68">
        <v>17</v>
      </c>
      <c r="N68" s="17" t="s">
        <v>29</v>
      </c>
      <c r="O68" s="36">
        <v>469.9545</v>
      </c>
    </row>
    <row r="69" spans="13:15" x14ac:dyDescent="0.25">
      <c r="M69">
        <v>18</v>
      </c>
      <c r="N69" s="18" t="s">
        <v>30</v>
      </c>
      <c r="O69" s="19" t="s">
        <v>35</v>
      </c>
    </row>
    <row r="70" spans="13:15" ht="15.75" x14ac:dyDescent="0.3">
      <c r="M70">
        <v>19</v>
      </c>
      <c r="N70" s="18" t="s">
        <v>31</v>
      </c>
      <c r="O70" s="24">
        <v>44958</v>
      </c>
    </row>
  </sheetData>
  <pageMargins left="0.23622047244094488" right="7.874015748031496E-2" top="0.39370078740157483" bottom="0.39370078740157483" header="0.19685039370078741" footer="0.11811023622047244"/>
  <pageSetup scale="97" orientation="portrait" r:id="rId1"/>
  <colBreaks count="1" manualBreakCount="1">
    <brk id="10" max="47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B6868C99F8F42498FA1203F1F96F592" ma:contentTypeVersion="14" ma:contentTypeDescription="Crear nuevo documento." ma:contentTypeScope="" ma:versionID="d72e54afdf12df34fa3bb8fdc3be2faf">
  <xsd:schema xmlns:xsd="http://www.w3.org/2001/XMLSchema" xmlns:xs="http://www.w3.org/2001/XMLSchema" xmlns:p="http://schemas.microsoft.com/office/2006/metadata/properties" xmlns:ns2="e7313b36-24db-4a5b-8b27-fbf44eda5fe8" xmlns:ns3="028637a7-893d-428e-af8a-e5bc0dc76cd8" targetNamespace="http://schemas.microsoft.com/office/2006/metadata/properties" ma:root="true" ma:fieldsID="535871bbd5434ceb998da2ad73f512ab" ns2:_="" ns3:_="">
    <xsd:import namespace="e7313b36-24db-4a5b-8b27-fbf44eda5fe8"/>
    <xsd:import namespace="028637a7-893d-428e-af8a-e5bc0dc76c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313b36-24db-4a5b-8b27-fbf44eda5f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25db2dac-40fb-4f36-a145-aa4b63f580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8637a7-893d-428e-af8a-e5bc0dc76cd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66f8aad-b534-4a09-a3cc-25ee7a79d2a7}" ma:internalName="TaxCatchAll" ma:showField="CatchAllData" ma:web="028637a7-893d-428e-af8a-e5bc0dc76c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28637a7-893d-428e-af8a-e5bc0dc76cd8" xsi:nil="true"/>
    <lcf76f155ced4ddcb4097134ff3c332f xmlns="e7313b36-24db-4a5b-8b27-fbf44eda5fe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145160-7729-410C-BDFC-FDEB719F3E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313b36-24db-4a5b-8b27-fbf44eda5fe8"/>
    <ds:schemaRef ds:uri="028637a7-893d-428e-af8a-e5bc0dc76c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56EA12-9D37-4009-A23D-41BC2243E912}">
  <ds:schemaRefs>
    <ds:schemaRef ds:uri="http://schemas.microsoft.com/office/2006/metadata/properti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028637a7-893d-428e-af8a-e5bc0dc76cd8"/>
    <ds:schemaRef ds:uri="http://schemas.openxmlformats.org/package/2006/metadata/core-properties"/>
    <ds:schemaRef ds:uri="e7313b36-24db-4a5b-8b27-fbf44eda5fe8"/>
  </ds:schemaRefs>
</ds:datastoreItem>
</file>

<file path=customXml/itemProps3.xml><?xml version="1.0" encoding="utf-8"?>
<ds:datastoreItem xmlns:ds="http://schemas.openxmlformats.org/officeDocument/2006/customXml" ds:itemID="{40771AD8-12E9-4CEB-82D1-3AA1FFD623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LEMONTPORT_GRAPHICS</vt:lpstr>
      <vt:lpstr>LEMONT1PORTERIA</vt:lpstr>
      <vt:lpstr>LEMONT1PORTERIA!Print_Area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RAMON FERNANDEZ</dc:creator>
  <cp:keywords/>
  <dc:description/>
  <cp:lastModifiedBy>Yessenia  Martinez George</cp:lastModifiedBy>
  <cp:revision/>
  <dcterms:created xsi:type="dcterms:W3CDTF">2023-02-14T19:49:03Z</dcterms:created>
  <dcterms:modified xsi:type="dcterms:W3CDTF">2024-08-09T14:08:00Z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0x0101005B6868C99F8F42498FA1203F1F96F592</vt:lpwstr>
  </property>
  <property fmtid="{D5CDD505-2E9C-101B-9397-08002B2CF9AE}" pid="3" name="MediaServiceImageTags">
    <vt:lpwstr/>
  </property>
</Properties>
</file>