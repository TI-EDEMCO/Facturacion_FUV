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jpg" ContentType="image/jp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2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emp Tech\Desktop\macros_factura\"/>
    </mc:Choice>
  </mc:AlternateContent>
  <xr:revisionPtr revIDLastSave="0" documentId="13_ncr:1_{DE289CFC-A7F1-4C7C-B9D6-5E77D93D82C4}" xr6:coauthVersionLast="36" xr6:coauthVersionMax="36" xr10:uidLastSave="{00000000-0000-0000-0000-000000000000}"/>
  <bookViews>
    <workbookView xWindow="0" yWindow="0" windowWidth="17145" windowHeight="12105" tabRatio="789" activeTab="1" xr2:uid="{97B622EB-0C47-4D02-AD4F-870D2580F108}"/>
  </bookViews>
  <sheets>
    <sheet name="PUNTOCLAVESSFV_GRAPHICS" sheetId="7" r:id="rId1"/>
    <sheet name="PUNTOCLAVESSFV" sheetId="13" r:id="rId2"/>
  </sheets>
  <definedNames>
    <definedName name="Print_Area" localSheetId="1">PUNTOCLAVESSFV!$A$1:$J$48</definedName>
  </definedNames>
  <calcPr calcId="191028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6" i="7" l="1"/>
  <c r="O25" i="13" l="1"/>
  <c r="O29" i="13" l="1"/>
  <c r="D21" i="7"/>
  <c r="O26" i="13" l="1"/>
  <c r="O27" i="13" l="1"/>
  <c r="F21" i="7" l="1"/>
  <c r="F22" i="7" l="1"/>
  <c r="F23" i="7"/>
  <c r="F24" i="7"/>
  <c r="D22" i="7"/>
  <c r="D23" i="7"/>
  <c r="D24" i="7"/>
  <c r="C22" i="7"/>
  <c r="C23" i="7"/>
  <c r="C24" i="7"/>
  <c r="C21" i="7"/>
  <c r="B22" i="7"/>
  <c r="B23" i="7"/>
  <c r="B24" i="7"/>
  <c r="B21" i="7"/>
  <c r="E22" i="7" l="1"/>
  <c r="E24" i="7"/>
  <c r="E23" i="7"/>
  <c r="O28" i="13"/>
  <c r="O32" i="13" s="1"/>
  <c r="L32" i="7"/>
  <c r="L33" i="7"/>
  <c r="L34" i="7"/>
  <c r="L35" i="7"/>
  <c r="L36" i="7"/>
  <c r="L31" i="7"/>
  <c r="F6" i="7"/>
  <c r="N31" i="7" l="1"/>
  <c r="H11" i="7" l="1"/>
  <c r="N36" i="7"/>
  <c r="M36" i="7"/>
  <c r="O11" i="7"/>
  <c r="K11" i="7"/>
  <c r="L11" i="7" s="1"/>
  <c r="N35" i="7"/>
  <c r="M35" i="7"/>
  <c r="G24" i="7" l="1"/>
  <c r="O36" i="7"/>
  <c r="O10" i="7"/>
  <c r="K10" i="7"/>
  <c r="L10" i="7" s="1"/>
  <c r="H10" i="7"/>
  <c r="O35" i="7" l="1"/>
  <c r="N34" i="7" l="1"/>
  <c r="M34" i="7"/>
  <c r="O9" i="7"/>
  <c r="K9" i="7"/>
  <c r="L9" i="7" s="1"/>
  <c r="H9" i="7" l="1"/>
  <c r="G23" i="7"/>
  <c r="O34" i="7"/>
  <c r="G22" i="7" l="1"/>
  <c r="N33" i="7"/>
  <c r="M33" i="7"/>
  <c r="O8" i="7"/>
  <c r="K8" i="7"/>
  <c r="L8" i="7" s="1"/>
  <c r="O33" i="7" l="1"/>
  <c r="H8" i="7"/>
  <c r="P6" i="7" l="1"/>
  <c r="O7" i="7"/>
  <c r="M31" i="7"/>
  <c r="E20" i="7"/>
  <c r="G20" i="7" s="1"/>
  <c r="K6" i="7"/>
  <c r="L6" i="7" s="1"/>
  <c r="H6" i="7" l="1"/>
  <c r="O31" i="7" l="1"/>
  <c r="N6" i="7"/>
  <c r="N32" i="7"/>
  <c r="M32" i="7"/>
  <c r="K7" i="7"/>
  <c r="L7" i="7" s="1"/>
  <c r="E21" i="7"/>
  <c r="G21" i="7" s="1"/>
  <c r="E19" i="7"/>
  <c r="G19" i="7" s="1"/>
  <c r="E18" i="7"/>
  <c r="G18" i="7" l="1"/>
  <c r="F7" i="7" l="1"/>
  <c r="F8" i="7" s="1"/>
  <c r="F9" i="7" s="1"/>
  <c r="F10" i="7" s="1"/>
  <c r="F11" i="7" s="1"/>
  <c r="P7" i="7"/>
  <c r="P8" i="7" s="1"/>
  <c r="P9" i="7" s="1"/>
  <c r="P10" i="7" s="1"/>
  <c r="P11" i="7" s="1"/>
  <c r="H7" i="7"/>
  <c r="O32" i="7"/>
  <c r="N7" i="7" l="1"/>
  <c r="N8" i="7" s="1"/>
  <c r="N9" i="7" s="1"/>
  <c r="N10" i="7" s="1"/>
  <c r="N11" i="7" s="1"/>
</calcChain>
</file>

<file path=xl/sharedStrings.xml><?xml version="1.0" encoding="utf-8"?>
<sst xmlns="http://schemas.openxmlformats.org/spreadsheetml/2006/main" count="62" uniqueCount="60">
  <si>
    <t>Punto Clave</t>
  </si>
  <si>
    <t>Generación</t>
  </si>
  <si>
    <t>Exportación</t>
  </si>
  <si>
    <t>Consumo</t>
  </si>
  <si>
    <t>Consumo 
acumulado</t>
  </si>
  <si>
    <t>VALOR kWh</t>
  </si>
  <si>
    <t>Valor total sin excedentes</t>
  </si>
  <si>
    <t>Tarifa OR</t>
  </si>
  <si>
    <t>Valor total con excedentes</t>
  </si>
  <si>
    <t>Tarifa Edemco</t>
  </si>
  <si>
    <t>diferencia tarifa</t>
  </si>
  <si>
    <t>Ahorro actual</t>
  </si>
  <si>
    <t>Ahorro acumulado</t>
  </si>
  <si>
    <t>Ahorro CO2</t>
  </si>
  <si>
    <t>Acumulado CO2</t>
  </si>
  <si>
    <t>Consumo
kWh</t>
  </si>
  <si>
    <t>Tarifa</t>
  </si>
  <si>
    <t>Valor factura
Tarifa $ 365,4</t>
  </si>
  <si>
    <t>Total
kWh</t>
  </si>
  <si>
    <t>Red
kWh</t>
  </si>
  <si>
    <t>Enero</t>
  </si>
  <si>
    <t>Febrero</t>
  </si>
  <si>
    <t>Marzo</t>
  </si>
  <si>
    <t>CELSIA</t>
  </si>
  <si>
    <t>CEN</t>
  </si>
  <si>
    <t>AHORRO</t>
  </si>
  <si>
    <t>Consumo concepto</t>
  </si>
  <si>
    <t>Consumo kWh</t>
  </si>
  <si>
    <t>Consumo tarifa</t>
  </si>
  <si>
    <t>Consumo valor</t>
  </si>
  <si>
    <t>Exportacion concepto</t>
  </si>
  <si>
    <t>Total a pagar</t>
  </si>
  <si>
    <t>Fecha Ini</t>
  </si>
  <si>
    <t>Fecha Fin</t>
  </si>
  <si>
    <t>Dias consumo</t>
  </si>
  <si>
    <t>Consumo Actual</t>
  </si>
  <si>
    <t>Consumo Acumulado</t>
  </si>
  <si>
    <t>Concepto Facturado</t>
  </si>
  <si>
    <t>Cantidad</t>
  </si>
  <si>
    <t>Costo unidad</t>
  </si>
  <si>
    <t>Valor Total</t>
  </si>
  <si>
    <t>Fecha de Pago</t>
  </si>
  <si>
    <t>Factura Mes</t>
  </si>
  <si>
    <t>Factura No</t>
  </si>
  <si>
    <t>Contrato No</t>
  </si>
  <si>
    <t>Ahorro Actual</t>
  </si>
  <si>
    <t>Ahorro Acumulado</t>
  </si>
  <si>
    <t>Periodo Actual</t>
  </si>
  <si>
    <t>Periodo Acumulado</t>
  </si>
  <si>
    <t>CUFE</t>
  </si>
  <si>
    <t>Fecha CUFE</t>
  </si>
  <si>
    <t>FACT_001</t>
  </si>
  <si>
    <t>Exportación tarifa</t>
  </si>
  <si>
    <t>Abr-24</t>
  </si>
  <si>
    <t>CONT_001</t>
  </si>
  <si>
    <t>CUFEASDASD4654F65SA1555D</t>
  </si>
  <si>
    <t>Exportación cantidad kWh</t>
  </si>
  <si>
    <t>=TEXTO(O53;"mmmm")</t>
  </si>
  <si>
    <t>Facturación de Energía Fotovoltaica Planta Punto Clave</t>
  </si>
  <si>
    <t>2023-07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</si>
</sst>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8" formatCode="&quot;$&quot;\ #,##0.00;[Red]\-&quot;$&quot;\ #,##0.00"/>
    <numFmt numFmtId="41" formatCode="_-* #,##0_-;\-* #,##0_-;_-* &quot;-&quot;_-;_-@_-"/>
    <numFmt numFmtId="43" formatCode="_-* #,##0.00_-;\-* #,##0.00_-;_-* &quot;-&quot;??_-;_-@_-"/>
    <numFmt numFmtId="164" formatCode="_-* #,##0.0_-;\-* #,##0.0_-;_-* &quot;-&quot;??_-;_-@_-"/>
    <numFmt numFmtId="165" formatCode="_-&quot;$&quot;\ * #,##0_-;\-&quot;$&quot;\ * #,##0_-;_-&quot;$&quot;\ * &quot;-&quot;??_-;_-@_-"/>
    <numFmt numFmtId="166" formatCode="_-* #,##0_-;\-* #,##0_-;_-* &quot;-&quot;??_-;_-@_-"/>
    <numFmt numFmtId="167" formatCode="&quot;$&quot;\ #,##0.00"/>
    <numFmt numFmtId="168" formatCode="mmm\ yyyy"/>
    <numFmt numFmtId="169" formatCode="###,##0.##\ &quot;kWh&quot;"/>
  </numFmts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9"/>
      <color rgb="FF000000"/>
      <name val="Arial"/>
      <family val="2"/>
    </font>
    <font>
      <b/>
      <sz val="9"/>
      <color theme="1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theme="2"/>
      <name val="Calibri"/>
      <family val="2"/>
      <scheme val="minor"/>
    </font>
    <font>
      <sz val="6"/>
      <color theme="1"/>
      <name val="Trebuchet MS"/>
      <family val="2"/>
    </font>
    <font>
      <b/>
      <sz val="6"/>
      <color theme="1"/>
      <name val="Trebuchet MS"/>
      <family val="2"/>
    </font>
    <font>
      <b/>
      <sz val="8.5"/>
      <color rgb="FF2E463A"/>
      <name val="Trebuchet MS"/>
      <family val="2"/>
    </font>
    <font>
      <b/>
      <sz val="11"/>
      <color rgb="FF2E463A"/>
      <name val="Trebuchet MS"/>
      <family val="2"/>
    </font>
    <font>
      <b/>
      <sz val="9"/>
      <color rgb="FF2E463A"/>
      <name val="Trebuchet MS"/>
      <family val="2"/>
    </font>
    <font>
      <b/>
      <sz val="7.5"/>
      <color rgb="FF2E463A"/>
      <name val="Trebuchet MS"/>
      <family val="2"/>
    </font>
    <font>
      <b/>
      <sz val="8"/>
      <color rgb="FF2E463A"/>
      <name val="Trebuchet MS"/>
      <family val="2"/>
    </font>
    <font>
      <b/>
      <sz val="12"/>
      <color rgb="FF22362C"/>
      <name val="Trebuchet MS"/>
      <family val="2"/>
    </font>
    <font>
      <b/>
      <sz val="12"/>
      <color rgb="FF2E463A"/>
      <name val="Trebuchet MS"/>
      <family val="2"/>
    </font>
    <font>
      <b/>
      <sz val="4"/>
      <color rgb="FF2E463A"/>
      <name val="Arial"/>
      <family val="2"/>
    </font>
    <font>
      <sz val="11"/>
      <name val="Calibri"/>
      <family val="2"/>
      <scheme val="minor"/>
    </font>
    <font>
      <sz val="7.5"/>
      <color rgb="FF22362C"/>
      <name val="Trebuchet MS"/>
      <family val="2"/>
    </font>
    <font>
      <u/>
      <sz val="11"/>
      <color theme="1"/>
      <name val="Calibri"/>
      <family val="2"/>
      <scheme val="minor"/>
    </font>
    <font>
      <u val="singleAccounting"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7BAE5F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</cellStyleXfs>
  <cellXfs count="68">
    <xf numFmtId="0" fontId="0" fillId="0" borderId="0" xfId="0"/>
    <xf numFmtId="0" fontId="0" fillId="0" borderId="1" xfId="0" applyBorder="1"/>
    <xf numFmtId="0" fontId="2" fillId="2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 wrapText="1"/>
    </xf>
    <xf numFmtId="167" fontId="0" fillId="0" borderId="1" xfId="0" applyNumberFormat="1" applyBorder="1"/>
    <xf numFmtId="2" fontId="0" fillId="0" borderId="0" xfId="0" applyNumberFormat="1"/>
    <xf numFmtId="0" fontId="4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 wrapText="1"/>
    </xf>
    <xf numFmtId="4" fontId="4" fillId="0" borderId="1" xfId="0" applyNumberFormat="1" applyFont="1" applyBorder="1" applyAlignment="1">
      <alignment horizontal="center" vertical="center"/>
    </xf>
    <xf numFmtId="8" fontId="4" fillId="0" borderId="1" xfId="0" applyNumberFormat="1" applyFont="1" applyBorder="1" applyAlignment="1">
      <alignment horizontal="center" vertical="center"/>
    </xf>
    <xf numFmtId="0" fontId="5" fillId="0" borderId="0" xfId="0" applyFont="1"/>
    <xf numFmtId="168" fontId="0" fillId="0" borderId="0" xfId="0" applyNumberFormat="1"/>
    <xf numFmtId="167" fontId="0" fillId="0" borderId="0" xfId="0" applyNumberFormat="1"/>
    <xf numFmtId="0" fontId="5" fillId="0" borderId="0" xfId="0" applyFont="1" applyAlignment="1">
      <alignment horizontal="right"/>
    </xf>
    <xf numFmtId="4" fontId="5" fillId="0" borderId="0" xfId="0" applyNumberFormat="1" applyFont="1" applyAlignment="1">
      <alignment horizontal="center"/>
    </xf>
    <xf numFmtId="8" fontId="5" fillId="0" borderId="0" xfId="0" applyNumberFormat="1" applyFont="1"/>
    <xf numFmtId="4" fontId="4" fillId="0" borderId="0" xfId="0" applyNumberFormat="1" applyFont="1" applyAlignment="1">
      <alignment horizontal="center" vertical="center"/>
    </xf>
    <xf numFmtId="169" fontId="4" fillId="0" borderId="0" xfId="0" applyNumberFormat="1" applyFont="1" applyAlignment="1">
      <alignment horizontal="center" vertical="center"/>
    </xf>
    <xf numFmtId="8" fontId="4" fillId="0" borderId="0" xfId="0" applyNumberFormat="1" applyFont="1" applyAlignment="1">
      <alignment horizontal="center" vertical="center"/>
    </xf>
    <xf numFmtId="165" fontId="0" fillId="0" borderId="0" xfId="0" applyNumberFormat="1"/>
    <xf numFmtId="0" fontId="7" fillId="2" borderId="2" xfId="0" applyFont="1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167" fontId="8" fillId="0" borderId="0" xfId="0" applyNumberFormat="1" applyFont="1"/>
    <xf numFmtId="4" fontId="8" fillId="0" borderId="0" xfId="0" applyNumberFormat="1" applyFont="1"/>
    <xf numFmtId="0" fontId="0" fillId="6" borderId="0" xfId="0" applyFill="1"/>
    <xf numFmtId="4" fontId="9" fillId="0" borderId="0" xfId="0" applyNumberFormat="1" applyFont="1"/>
    <xf numFmtId="4" fontId="0" fillId="0" borderId="0" xfId="0" applyNumberFormat="1"/>
    <xf numFmtId="17" fontId="4" fillId="0" borderId="1" xfId="0" applyNumberFormat="1" applyFont="1" applyBorder="1" applyAlignment="1">
      <alignment horizontal="center" vertical="center"/>
    </xf>
    <xf numFmtId="0" fontId="18" fillId="4" borderId="0" xfId="0" applyFont="1" applyFill="1"/>
    <xf numFmtId="4" fontId="8" fillId="0" borderId="0" xfId="0" applyNumberFormat="1" applyFont="1" applyAlignment="1">
      <alignment horizontal="right"/>
    </xf>
    <xf numFmtId="4" fontId="18" fillId="4" borderId="0" xfId="0" applyNumberFormat="1" applyFont="1" applyFill="1"/>
    <xf numFmtId="0" fontId="0" fillId="0" borderId="0" xfId="0" applyAlignment="1">
      <alignment horizontal="right"/>
    </xf>
    <xf numFmtId="14" fontId="10" fillId="0" borderId="0" xfId="0" applyNumberFormat="1" applyFont="1" applyAlignment="1">
      <alignment horizontal="right"/>
    </xf>
    <xf numFmtId="0" fontId="10" fillId="0" borderId="0" xfId="0" applyFont="1" applyAlignment="1">
      <alignment horizontal="right"/>
    </xf>
    <xf numFmtId="4" fontId="0" fillId="0" borderId="0" xfId="0" applyNumberFormat="1" applyAlignment="1">
      <alignment horizontal="right"/>
    </xf>
    <xf numFmtId="0" fontId="19" fillId="0" borderId="0" xfId="0" applyFont="1" applyAlignment="1">
      <alignment horizontal="right"/>
    </xf>
    <xf numFmtId="8" fontId="12" fillId="0" borderId="0" xfId="0" applyNumberFormat="1" applyFont="1" applyAlignment="1">
      <alignment horizontal="right"/>
    </xf>
    <xf numFmtId="14" fontId="11" fillId="0" borderId="0" xfId="0" applyNumberFormat="1" applyFont="1" applyAlignment="1">
      <alignment horizontal="right"/>
    </xf>
    <xf numFmtId="0" fontId="13" fillId="0" borderId="0" xfId="0" applyFont="1" applyAlignment="1">
      <alignment horizontal="right"/>
    </xf>
    <xf numFmtId="0" fontId="14" fillId="0" borderId="0" xfId="0" applyFont="1" applyAlignment="1">
      <alignment horizontal="right"/>
    </xf>
    <xf numFmtId="0" fontId="12" fillId="0" borderId="0" xfId="0" applyFont="1" applyAlignment="1">
      <alignment horizontal="right"/>
    </xf>
    <xf numFmtId="4" fontId="15" fillId="0" borderId="0" xfId="0" applyNumberFormat="1" applyFont="1" applyAlignment="1">
      <alignment horizontal="right"/>
    </xf>
    <xf numFmtId="4" fontId="16" fillId="0" borderId="0" xfId="0" applyNumberFormat="1" applyFont="1" applyAlignment="1">
      <alignment horizontal="right"/>
    </xf>
    <xf numFmtId="0" fontId="17" fillId="0" borderId="0" xfId="0" applyFont="1" applyAlignment="1">
      <alignment horizontal="right"/>
    </xf>
    <xf numFmtId="14" fontId="14" fillId="0" borderId="0" xfId="0" applyNumberFormat="1" applyFont="1" applyAlignment="1">
      <alignment horizontal="right"/>
    </xf>
    <xf numFmtId="0" fontId="20" fillId="0" borderId="0" xfId="0" applyFont="1"/>
    <xf numFmtId="49" fontId="0" fillId="0" borderId="0" xfId="0" applyNumberFormat="1"/>
    <xf numFmtId="0" fontId="0" fillId="0" borderId="1" xfId="0" applyBorder="1" applyAlignment="1">
      <alignment horizontal="center"/>
    </xf>
    <xf numFmtId="17" fontId="0" fillId="0" borderId="1" xfId="0" applyNumberFormat="1" applyBorder="1" applyAlignment="1">
      <alignment horizontal="center"/>
    </xf>
    <xf numFmtId="164" fontId="0" fillId="0" borderId="1" xfId="1" applyNumberFormat="1" applyFont="1" applyBorder="1" applyAlignment="1">
      <alignment horizontal="center"/>
    </xf>
    <xf numFmtId="43" fontId="0" fillId="0" borderId="1" xfId="1" applyFont="1" applyBorder="1" applyAlignment="1">
      <alignment horizontal="center"/>
    </xf>
    <xf numFmtId="165" fontId="0" fillId="5" borderId="1" xfId="0" applyNumberFormat="1" applyFill="1" applyBorder="1" applyAlignment="1">
      <alignment horizontal="center"/>
    </xf>
    <xf numFmtId="165" fontId="0" fillId="0" borderId="1" xfId="0" applyNumberFormat="1" applyBorder="1" applyAlignment="1">
      <alignment horizontal="center"/>
    </xf>
    <xf numFmtId="166" fontId="0" fillId="0" borderId="1" xfId="1" applyNumberFormat="1" applyFont="1" applyBorder="1" applyAlignment="1">
      <alignment horizontal="center"/>
    </xf>
    <xf numFmtId="43" fontId="0" fillId="3" borderId="1" xfId="1" applyFont="1" applyFill="1" applyBorder="1" applyAlignment="1">
      <alignment horizontal="center"/>
    </xf>
    <xf numFmtId="164" fontId="0" fillId="0" borderId="1" xfId="1" applyNumberFormat="1" applyFont="1" applyFill="1" applyBorder="1" applyAlignment="1">
      <alignment horizontal="center"/>
    </xf>
    <xf numFmtId="43" fontId="0" fillId="0" borderId="1" xfId="1" applyFont="1" applyFill="1" applyBorder="1" applyAlignment="1">
      <alignment horizontal="center"/>
    </xf>
    <xf numFmtId="165" fontId="6" fillId="5" borderId="1" xfId="0" applyNumberFormat="1" applyFont="1" applyFill="1" applyBorder="1" applyAlignment="1">
      <alignment horizontal="center"/>
    </xf>
    <xf numFmtId="166" fontId="21" fillId="0" borderId="1" xfId="1" applyNumberFormat="1" applyFont="1" applyBorder="1" applyAlignment="1">
      <alignment horizontal="center"/>
    </xf>
    <xf numFmtId="167" fontId="15" fillId="0" borderId="0" xfId="0" applyNumberFormat="1" applyFont="1" applyAlignment="1">
      <alignment horizontal="right"/>
    </xf>
    <xf numFmtId="168" fontId="0" fillId="0" borderId="1" xfId="0" applyNumberFormat="1" applyBorder="1" applyAlignment="1">
      <alignment horizontal="center"/>
    </xf>
    <xf numFmtId="167" fontId="15" fillId="0" borderId="0" xfId="0" applyNumberFormat="1" applyFont="1" applyAlignment="1">
      <alignment horizontal="right" vertical="center" readingOrder="1"/>
    </xf>
    <xf numFmtId="0" fontId="4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 wrapText="1"/>
    </xf>
  </cellXfs>
  <cellStyles count="5">
    <cellStyle name="Millares" xfId="1" builtinId="3"/>
    <cellStyle name="Millares [0] 2" xfId="4" xr:uid="{DF053EFB-4EEE-4063-AE9D-5901B899946F}"/>
    <cellStyle name="Millares 2" xfId="3" xr:uid="{DC3977F5-8F4B-427A-BCD7-C6B8358AC4F8}"/>
    <cellStyle name="Millares 3" xfId="2" xr:uid="{93706AC7-A2BC-4CEE-A212-2D4811D8A5E7}"/>
    <cellStyle name="Normal" xfId="0" builtinId="0"/>
  </cellStyles>
  <dxfs count="0"/>
  <tableStyles count="0" defaultTableStyle="TableStyleMedium2" defaultPivotStyle="PivotStyleLight16"/>
  <colors>
    <mruColors>
      <color rgb="FF7BAE5F"/>
      <color rgb="FF4472C4"/>
      <color rgb="FF34523B"/>
      <color rgb="FF273C1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cap="none" spc="5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s-CO" sz="1100" b="1" i="0" baseline="0"/>
              <a:t>Histórico Consumo</a:t>
            </a:r>
          </a:p>
        </c:rich>
      </c:tx>
      <c:layout>
        <c:manualLayout>
          <c:xMode val="edge"/>
          <c:yMode val="edge"/>
          <c:x val="0.35466648355436858"/>
          <c:y val="5.824799657850350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cap="none" spc="5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s-CO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PUNTOCLAVESSFV_GRAPHICS!$C$5</c:f>
              <c:strCache>
                <c:ptCount val="1"/>
                <c:pt idx="0">
                  <c:v>Generación</c:v>
                </c:pt>
              </c:strCache>
            </c:strRef>
          </c:tx>
          <c:spPr>
            <a:solidFill>
              <a:schemeClr val="accent6">
                <a:alpha val="70000"/>
              </a:schemeClr>
            </a:solidFill>
            <a:ln>
              <a:noFill/>
            </a:ln>
            <a:effectLst/>
          </c:spPr>
          <c:invertIfNegative val="0"/>
          <c:cat>
            <c:strRef>
              <c:f>PUNTOCLAVESSFV_GRAPHICS!$B$6:$B$11</c:f>
              <c:strCache>
                <c:ptCount val="6"/>
                <c:pt idx="0">
                  <c:v>feb-24</c:v>
                </c:pt>
                <c:pt idx="1">
                  <c:v>mar-24</c:v>
                </c:pt>
                <c:pt idx="2">
                  <c:v>Abr-24</c:v>
                </c:pt>
                <c:pt idx="3">
                  <c:v>may-24</c:v>
                </c:pt>
                <c:pt idx="4">
                  <c:v>jun-24</c:v>
                </c:pt>
                <c:pt idx="5">
                  <c:v>jul-24</c:v>
                </c:pt>
              </c:strCache>
            </c:strRef>
          </c:cat>
          <c:val>
            <c:numRef>
              <c:f>PUNTOCLAVESSFV_GRAPHICS!$C$6:$C$11</c:f>
              <c:numCache>
                <c:formatCode>_-* #,##0.0_-;\-* #,##0.0_-;_-* "-"??_-;_-@_-</c:formatCode>
                <c:ptCount val="6"/>
                <c:pt idx="0">
                  <c:v>18651.000100000001</c:v>
                </c:pt>
                <c:pt idx="1">
                  <c:v>19587.800899999998</c:v>
                </c:pt>
                <c:pt idx="2">
                  <c:v>22953.200700000001</c:v>
                </c:pt>
                <c:pt idx="3">
                  <c:v>24797.700199999999</c:v>
                </c:pt>
                <c:pt idx="4">
                  <c:v>26304.499199999998</c:v>
                </c:pt>
                <c:pt idx="5">
                  <c:v>16218.100200000001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B6B-4D43-B473-642447DBDB53}"/>
            </c:ext>
          </c:extLst>
        </c:ser>
        <c:ser>
          <c:idx val="1"/>
          <c:order val="1"/>
          <c:tx>
            <c:strRef>
              <c:f>PUNTOCLAVESSFV_GRAPHICS!$D$5</c:f>
              <c:strCache>
                <c:ptCount val="1"/>
                <c:pt idx="0">
                  <c:v>Exportación</c:v>
                </c:pt>
              </c:strCache>
            </c:strRef>
          </c:tx>
          <c:spPr>
            <a:solidFill>
              <a:schemeClr val="accent5">
                <a:alpha val="70000"/>
              </a:schemeClr>
            </a:solidFill>
            <a:ln>
              <a:noFill/>
            </a:ln>
            <a:effectLst/>
          </c:spPr>
          <c:invertIfNegative val="0"/>
          <c:cat>
            <c:strRef>
              <c:f>PUNTOCLAVESSFV_GRAPHICS!$B$6:$B$11</c:f>
              <c:strCache>
                <c:ptCount val="6"/>
                <c:pt idx="0">
                  <c:v>feb-24</c:v>
                </c:pt>
                <c:pt idx="1">
                  <c:v>mar-24</c:v>
                </c:pt>
                <c:pt idx="2">
                  <c:v>Abr-24</c:v>
                </c:pt>
                <c:pt idx="3">
                  <c:v>may-24</c:v>
                </c:pt>
                <c:pt idx="4">
                  <c:v>jun-24</c:v>
                </c:pt>
                <c:pt idx="5">
                  <c:v>jul-24</c:v>
                </c:pt>
              </c:strCache>
            </c:strRef>
          </c:cat>
          <c:val>
            <c:numRef>
              <c:f>PUNTOCLAVESSFV_GRAPHICS!$D$6:$D$11</c:f>
              <c:numCache>
                <c:formatCode>_(* #,##0.00_);_(* \(#,##0.00\);_(* "-"??_);_(@_)</c:formatCode>
                <c:ptCount val="6"/>
                <c:pt idx="0">
                  <c:v>991968.875</c:v>
                </c:pt>
                <c:pt idx="1">
                  <c:v>993968.875</c:v>
                </c:pt>
                <c:pt idx="2">
                  <c:v>995968.875</c:v>
                </c:pt>
                <c:pt idx="3">
                  <c:v>997968.875</c:v>
                </c:pt>
                <c:pt idx="4">
                  <c:v>999968.875</c:v>
                </c:pt>
                <c:pt idx="5">
                  <c:v>999968.875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A8-47FD-9367-078B4C5BE569}"/>
            </c:ext>
          </c:extLst>
        </c:ser>
        <c:ser>
          <c:idx val="2"/>
          <c:order val="2"/>
          <c:tx>
            <c:strRef>
              <c:f>PUNTOCLAVESSFV_GRAPHICS!$E$5</c:f>
              <c:strCache>
                <c:ptCount val="1"/>
                <c:pt idx="0">
                  <c:v>Consumo</c:v>
                </c:pt>
              </c:strCache>
            </c:strRef>
          </c:tx>
          <c:spPr>
            <a:solidFill>
              <a:schemeClr val="accent4">
                <a:alpha val="70000"/>
              </a:schemeClr>
            </a:solidFill>
            <a:ln>
              <a:noFill/>
            </a:ln>
            <a:effectLst/>
          </c:spPr>
          <c:invertIfNegative val="0"/>
          <c:cat>
            <c:strRef>
              <c:f>PUNTOCLAVESSFV_GRAPHICS!$B$6:$B$11</c:f>
              <c:strCache>
                <c:ptCount val="6"/>
                <c:pt idx="0">
                  <c:v>feb-24</c:v>
                </c:pt>
                <c:pt idx="1">
                  <c:v>mar-24</c:v>
                </c:pt>
                <c:pt idx="2">
                  <c:v>Abr-24</c:v>
                </c:pt>
                <c:pt idx="3">
                  <c:v>may-24</c:v>
                </c:pt>
                <c:pt idx="4">
                  <c:v>jun-24</c:v>
                </c:pt>
                <c:pt idx="5">
                  <c:v>jul-24</c:v>
                </c:pt>
              </c:strCache>
            </c:strRef>
          </c:cat>
          <c:val>
            <c:numRef>
              <c:f>PUNTOCLAVESSFV_GRAPHICS!$E$6:$E$11</c:f>
              <c:numCache>
                <c:formatCode>_(* #,##0.00_);_(* \(#,##0.00\);_(* "-"??_);_(@_)</c:formatCode>
                <c:ptCount val="6"/>
                <c:pt idx="0">
                  <c:v>458.36</c:v>
                </c:pt>
                <c:pt idx="1">
                  <c:v>458.36</c:v>
                </c:pt>
                <c:pt idx="2">
                  <c:v>458.36</c:v>
                </c:pt>
                <c:pt idx="3">
                  <c:v>458.36</c:v>
                </c:pt>
                <c:pt idx="4">
                  <c:v>458.36</c:v>
                </c:pt>
                <c:pt idx="5">
                  <c:v>458.36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A8-47FD-9367-078B4C5BE5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-10"/>
        <c:axId val="1200469039"/>
        <c:axId val="1529954735"/>
      </c:barChart>
      <c:catAx>
        <c:axId val="120046903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 sz="700" b="1" i="0" cap="none" baseline="0"/>
                  <a:t>Mes</a:t>
                </a:r>
              </a:p>
            </c:rich>
          </c:tx>
          <c:layout>
            <c:manualLayout>
              <c:xMode val="edge"/>
              <c:yMode val="edge"/>
              <c:x val="0.46924181577408408"/>
              <c:y val="0.8254738669446058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cap="none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1" i="0" u="none" strike="noStrike" kern="1200" cap="all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529954735"/>
        <c:crosses val="autoZero"/>
        <c:auto val="1"/>
        <c:lblAlgn val="ctr"/>
        <c:lblOffset val="100"/>
        <c:noMultiLvlLbl val="1"/>
      </c:catAx>
      <c:valAx>
        <c:axId val="1529954735"/>
        <c:scaling>
          <c:orientation val="minMax"/>
        </c:scaling>
        <c:delete val="0"/>
        <c:axPos val="l"/>
        <c:majorGridlines>
          <c:spPr>
            <a:ln w="9525" cap="flat" cmpd="sng" algn="ctr">
              <a:gradFill flip="none" rotWithShape="1">
                <a:gsLst>
                  <a:gs pos="0">
                    <a:schemeClr val="accent1">
                      <a:lumMod val="5000"/>
                      <a:lumOff val="95000"/>
                    </a:schemeClr>
                  </a:gs>
                  <a:gs pos="100000">
                    <a:schemeClr val="bg1">
                      <a:lumMod val="65000"/>
                    </a:schemeClr>
                  </a:gs>
                  <a:gs pos="100000">
                    <a:schemeClr val="bg1">
                      <a:lumMod val="6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path path="circle">
                  <a:fillToRect l="100000" t="100000"/>
                </a:path>
                <a:tileRect r="-100000" b="-10000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700" b="1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 sz="700" b="1" i="0" cap="none" baseline="0"/>
                  <a:t>Kwh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1" i="0" u="none" strike="noStrike" kern="1200" cap="none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1" i="0" u="none" strike="noStrike" kern="1200" cap="all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2004690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8028527496212666"/>
          <c:y val="0.87713227225663981"/>
          <c:w val="0.57456468030493868"/>
          <c:h val="0.12286772774336026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alpha val="0"/>
      </a:schemeClr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 sz="1100" b="1" i="0" baseline="0"/>
              <a:t>Comparativo Tarifas / Ahorro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4286173570149138"/>
          <c:y val="0.22109799873869868"/>
          <c:w val="0.68390240861880036"/>
          <c:h val="0.49635019390815416"/>
        </c:manualLayout>
      </c:layout>
      <c:barChart>
        <c:barDir val="col"/>
        <c:grouping val="clustered"/>
        <c:varyColors val="0"/>
        <c:ser>
          <c:idx val="0"/>
          <c:order val="0"/>
          <c:tx>
            <c:v>CELSIA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strRef>
              <c:f>PUNTOCLAVESSFV_GRAPHICS!$L$31:$L$36</c:f>
              <c:strCache>
                <c:ptCount val="6"/>
                <c:pt idx="0">
                  <c:v>feb 2024</c:v>
                </c:pt>
                <c:pt idx="1">
                  <c:v>mar 2024</c:v>
                </c:pt>
                <c:pt idx="2">
                  <c:v>Abr-24</c:v>
                </c:pt>
                <c:pt idx="3">
                  <c:v>may 2024</c:v>
                </c:pt>
                <c:pt idx="4">
                  <c:v>jun 2024</c:v>
                </c:pt>
                <c:pt idx="5">
                  <c:v>jul 2024</c:v>
                </c:pt>
              </c:strCache>
            </c:strRef>
          </c:cat>
          <c:val>
            <c:numRef>
              <c:f>PUNTOCLAVESSFV_GRAPHICS!$M$31:$M$36</c:f>
              <c:numCache>
                <c:formatCode>General</c:formatCode>
                <c:ptCount val="6"/>
                <c:pt idx="0">
                  <c:v>974.72</c:v>
                </c:pt>
                <c:pt idx="1">
                  <c:v>990.84</c:v>
                </c:pt>
                <c:pt idx="2">
                  <c:v>1009.04</c:v>
                </c:pt>
                <c:pt idx="3">
                  <c:v>1062.3599999999999</c:v>
                </c:pt>
                <c:pt idx="4">
                  <c:v>941.82</c:v>
                </c:pt>
                <c:pt idx="5">
                  <c:v>2131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884-4DE5-BA5D-82128F60A710}"/>
            </c:ext>
          </c:extLst>
        </c:ser>
        <c:ser>
          <c:idx val="1"/>
          <c:order val="1"/>
          <c:tx>
            <c:v>CEN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PUNTOCLAVESSFV_GRAPHICS!$L$31:$L$36</c:f>
              <c:strCache>
                <c:ptCount val="6"/>
                <c:pt idx="0">
                  <c:v>feb 2024</c:v>
                </c:pt>
                <c:pt idx="1">
                  <c:v>mar 2024</c:v>
                </c:pt>
                <c:pt idx="2">
                  <c:v>Abr-24</c:v>
                </c:pt>
                <c:pt idx="3">
                  <c:v>may 2024</c:v>
                </c:pt>
                <c:pt idx="4">
                  <c:v>jun 2024</c:v>
                </c:pt>
                <c:pt idx="5">
                  <c:v>jul 2024</c:v>
                </c:pt>
              </c:strCache>
            </c:strRef>
          </c:cat>
          <c:val>
            <c:numRef>
              <c:f>PUNTOCLAVESSFV_GRAPHICS!$N$31:$N$36</c:f>
              <c:numCache>
                <c:formatCode>General</c:formatCode>
                <c:ptCount val="6"/>
                <c:pt idx="0">
                  <c:v>458.36</c:v>
                </c:pt>
                <c:pt idx="1">
                  <c:v>458.36</c:v>
                </c:pt>
                <c:pt idx="2">
                  <c:v>458.36</c:v>
                </c:pt>
                <c:pt idx="3">
                  <c:v>458.36</c:v>
                </c:pt>
                <c:pt idx="4">
                  <c:v>458.36</c:v>
                </c:pt>
                <c:pt idx="5">
                  <c:v>458.36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884-4DE5-BA5D-82128F60A7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0679807"/>
        <c:axId val="2030475407"/>
      </c:barChart>
      <c:lineChart>
        <c:grouping val="standard"/>
        <c:varyColors val="0"/>
        <c:ser>
          <c:idx val="2"/>
          <c:order val="2"/>
          <c:tx>
            <c:v>AHORRO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strRef>
              <c:f>PUNTOCLAVESSFV_GRAPHICS!$L$31:$L$36</c:f>
              <c:strCache>
                <c:ptCount val="6"/>
                <c:pt idx="0">
                  <c:v>feb 2024</c:v>
                </c:pt>
                <c:pt idx="1">
                  <c:v>mar 2024</c:v>
                </c:pt>
                <c:pt idx="2">
                  <c:v>Abr-24</c:v>
                </c:pt>
                <c:pt idx="3">
                  <c:v>may 2024</c:v>
                </c:pt>
                <c:pt idx="4">
                  <c:v>jun 2024</c:v>
                </c:pt>
                <c:pt idx="5">
                  <c:v>jul 2024</c:v>
                </c:pt>
              </c:strCache>
            </c:strRef>
          </c:cat>
          <c:val>
            <c:numRef>
              <c:f>PUNTOCLAVESSFV_GRAPHICS!$O$31:$O$36</c:f>
              <c:numCache>
                <c:formatCode>"$"\ #,##0.00</c:formatCode>
                <c:ptCount val="6"/>
                <c:pt idx="0">
                  <c:v>9630630.4116360005</c:v>
                </c:pt>
                <c:pt idx="1">
                  <c:v>10430112.223231999</c:v>
                </c:pt>
                <c:pt idx="2">
                  <c:v>12639868.561476</c:v>
                </c:pt>
                <c:pt idx="3">
                  <c:v>14977810.920799997</c:v>
                </c:pt>
                <c:pt idx="4">
                  <c:v>12717173.183232</c:v>
                </c:pt>
                <c:pt idx="5">
                  <c:v>338206423.05472803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884-4DE5-BA5D-82128F60A7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24643231"/>
        <c:axId val="2030476847"/>
      </c:lineChart>
      <c:catAx>
        <c:axId val="13067980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 sz="700" b="1" i="0" baseline="0"/>
                  <a:t>Mes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030475407"/>
        <c:crosses val="autoZero"/>
        <c:auto val="1"/>
        <c:lblAlgn val="ctr"/>
        <c:lblOffset val="100"/>
        <c:noMultiLvlLbl val="1"/>
      </c:catAx>
      <c:valAx>
        <c:axId val="2030475407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0">
                    <a:schemeClr val="accent1">
                      <a:lumMod val="5000"/>
                      <a:lumOff val="95000"/>
                    </a:schemeClr>
                  </a:gs>
                  <a:gs pos="100000">
                    <a:schemeClr val="accent1">
                      <a:lumMod val="42000"/>
                      <a:lumOff val="58000"/>
                    </a:schemeClr>
                  </a:gs>
                  <a:gs pos="100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 sz="700" b="1" i="0" baseline="0"/>
                  <a:t>Pesos</a:t>
                </a:r>
              </a:p>
            </c:rich>
          </c:tx>
          <c:layout>
            <c:manualLayout>
              <c:xMode val="edge"/>
              <c:yMode val="edge"/>
              <c:x val="0"/>
              <c:y val="0.3879402511874823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30679807"/>
        <c:crosses val="autoZero"/>
        <c:crossBetween val="between"/>
      </c:valAx>
      <c:valAx>
        <c:axId val="2030476847"/>
        <c:scaling>
          <c:orientation val="minMax"/>
          <c:max val="7000000"/>
          <c:min val="1000000"/>
        </c:scaling>
        <c:delete val="0"/>
        <c:axPos val="r"/>
        <c:numFmt formatCode="&quot;$&quot;\ 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924643231"/>
        <c:crosses val="max"/>
        <c:crossBetween val="between"/>
        <c:majorUnit val="1000000"/>
      </c:valAx>
      <c:catAx>
        <c:axId val="192464323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030476847"/>
        <c:crosses val="autoZero"/>
        <c:auto val="1"/>
        <c:lblAlgn val="ctr"/>
        <c:lblOffset val="100"/>
        <c:noMultiLvlLbl val="1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bg1">
          <a:alpha val="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.xml"/><Relationship Id="rId3" Type="http://schemas.openxmlformats.org/officeDocument/2006/relationships/image" Target="../media/image3.png"/><Relationship Id="rId7" Type="http://schemas.openxmlformats.org/officeDocument/2006/relationships/chart" Target="../charts/chart1.xml"/><Relationship Id="rId2" Type="http://schemas.openxmlformats.org/officeDocument/2006/relationships/image" Target="../media/image2.png"/><Relationship Id="rId1" Type="http://schemas.openxmlformats.org/officeDocument/2006/relationships/image" Target="../media/image1.jp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Relationship Id="rId9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10</xdr:col>
      <xdr:colOff>4233</xdr:colOff>
      <xdr:row>51</xdr:row>
      <xdr:rowOff>16933</xdr:rowOff>
    </xdr:to>
    <xdr:pic>
      <xdr:nvPicPr>
        <xdr:cNvPr id="2" name="bg object 16">
          <a:extLst>
            <a:ext uri="{FF2B5EF4-FFF2-40B4-BE49-F238E27FC236}">
              <a16:creationId xmlns:a16="http://schemas.microsoft.com/office/drawing/2014/main" id="{B585A46B-5907-476F-8A00-B3AB59993E66}"/>
            </a:ext>
          </a:extLst>
        </xdr:cNvPr>
        <xdr:cNvPicPr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7133329" cy="9732433"/>
        </a:xfrm>
        <a:prstGeom prst="rect">
          <a:avLst/>
        </a:prstGeom>
      </xdr:spPr>
    </xdr:pic>
    <xdr:clientData/>
  </xdr:twoCellAnchor>
  <xdr:twoCellAnchor>
    <xdr:from>
      <xdr:col>0</xdr:col>
      <xdr:colOff>100850</xdr:colOff>
      <xdr:row>7</xdr:row>
      <xdr:rowOff>47003</xdr:rowOff>
    </xdr:from>
    <xdr:to>
      <xdr:col>4</xdr:col>
      <xdr:colOff>285000</xdr:colOff>
      <xdr:row>8</xdr:row>
      <xdr:rowOff>102248</xdr:rowOff>
    </xdr:to>
    <xdr:sp macro="" textlink="">
      <xdr:nvSpPr>
        <xdr:cNvPr id="3" name="object 2">
          <a:extLst>
            <a:ext uri="{FF2B5EF4-FFF2-40B4-BE49-F238E27FC236}">
              <a16:creationId xmlns:a16="http://schemas.microsoft.com/office/drawing/2014/main" id="{82361922-F922-4B6E-961C-D73DEAD846D5}"/>
            </a:ext>
          </a:extLst>
        </xdr:cNvPr>
        <xdr:cNvSpPr txBox="1"/>
      </xdr:nvSpPr>
      <xdr:spPr>
        <a:xfrm>
          <a:off x="100850" y="1327163"/>
          <a:ext cx="3354070" cy="238125"/>
        </a:xfrm>
        <a:prstGeom prst="rect">
          <a:avLst/>
        </a:prstGeom>
        <a:solidFill>
          <a:srgbClr val="2E463A"/>
        </a:solidFill>
      </xdr:spPr>
      <xdr:txBody>
        <a:bodyPr vert="horz" wrap="square" lIns="0" tIns="46355" rIns="0" bIns="0" rtlCol="0">
          <a:sp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898525">
            <a:lnSpc>
              <a:spcPct val="100000"/>
            </a:lnSpc>
            <a:spcBef>
              <a:spcPts val="365"/>
            </a:spcBef>
          </a:pPr>
          <a:r>
            <a:rPr sz="950" b="1" spc="20">
              <a:solidFill>
                <a:srgbClr val="FFFFFF"/>
              </a:solidFill>
              <a:latin typeface="Trebuchet MS"/>
              <a:cs typeface="Trebuchet MS"/>
            </a:rPr>
            <a:t>Resumen</a:t>
          </a:r>
          <a:r>
            <a:rPr sz="950" b="1" spc="-50">
              <a:solidFill>
                <a:srgbClr val="FFFFFF"/>
              </a:solidFill>
              <a:latin typeface="Trebuchet MS"/>
              <a:cs typeface="Trebuchet MS"/>
            </a:rPr>
            <a:t> </a:t>
          </a:r>
          <a:r>
            <a:rPr sz="950" b="1" spc="15">
              <a:solidFill>
                <a:srgbClr val="FFFFFF"/>
              </a:solidFill>
              <a:latin typeface="Trebuchet MS"/>
              <a:cs typeface="Trebuchet MS"/>
            </a:rPr>
            <a:t>de</a:t>
          </a:r>
          <a:r>
            <a:rPr sz="950" b="1" spc="-35">
              <a:solidFill>
                <a:srgbClr val="FFFFFF"/>
              </a:solidFill>
              <a:latin typeface="Trebuchet MS"/>
              <a:cs typeface="Trebuchet MS"/>
            </a:rPr>
            <a:t> </a:t>
          </a:r>
          <a:r>
            <a:rPr sz="950" b="1" spc="15">
              <a:solidFill>
                <a:srgbClr val="FFFFFF"/>
              </a:solidFill>
              <a:latin typeface="Trebuchet MS"/>
              <a:cs typeface="Trebuchet MS"/>
            </a:rPr>
            <a:t>Facturación</a:t>
          </a:r>
          <a:endParaRPr sz="950">
            <a:latin typeface="Trebuchet MS"/>
            <a:cs typeface="Trebuchet MS"/>
          </a:endParaRPr>
        </a:p>
      </xdr:txBody>
    </xdr:sp>
    <xdr:clientData/>
  </xdr:twoCellAnchor>
  <xdr:twoCellAnchor>
    <xdr:from>
      <xdr:col>0</xdr:col>
      <xdr:colOff>84226</xdr:colOff>
      <xdr:row>8</xdr:row>
      <xdr:rowOff>132575</xdr:rowOff>
    </xdr:from>
    <xdr:to>
      <xdr:col>2</xdr:col>
      <xdr:colOff>28575</xdr:colOff>
      <xdr:row>9</xdr:row>
      <xdr:rowOff>100195</xdr:rowOff>
    </xdr:to>
    <xdr:sp macro="" textlink="">
      <xdr:nvSpPr>
        <xdr:cNvPr id="4" name="object 3">
          <a:extLst>
            <a:ext uri="{FF2B5EF4-FFF2-40B4-BE49-F238E27FC236}">
              <a16:creationId xmlns:a16="http://schemas.microsoft.com/office/drawing/2014/main" id="{73ABFCEC-68A5-4694-8776-5D4F4059CEC4}"/>
            </a:ext>
          </a:extLst>
        </xdr:cNvPr>
        <xdr:cNvSpPr txBox="1"/>
      </xdr:nvSpPr>
      <xdr:spPr>
        <a:xfrm>
          <a:off x="84226" y="1656575"/>
          <a:ext cx="1468349" cy="158120"/>
        </a:xfrm>
        <a:prstGeom prst="rect">
          <a:avLst/>
        </a:prstGeom>
      </xdr:spPr>
      <xdr:txBody>
        <a:bodyPr vert="horz" wrap="square" lIns="0" tIns="16510" rIns="0" bIns="0" rtlCol="0">
          <a:sp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12700">
            <a:lnSpc>
              <a:spcPct val="100000"/>
            </a:lnSpc>
            <a:spcBef>
              <a:spcPts val="130"/>
            </a:spcBef>
            <a:tabLst>
              <a:tab pos="1559560" algn="l"/>
            </a:tabLst>
          </a:pPr>
          <a:r>
            <a:rPr sz="950" b="1" spc="10">
              <a:solidFill>
                <a:srgbClr val="2E463A"/>
              </a:solidFill>
              <a:latin typeface="Trebuchet MS"/>
              <a:cs typeface="Trebuchet MS"/>
            </a:rPr>
            <a:t>Periodo</a:t>
          </a:r>
          <a:r>
            <a:rPr sz="950" b="1" spc="-15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950" b="1" spc="15">
              <a:solidFill>
                <a:srgbClr val="2E463A"/>
              </a:solidFill>
              <a:latin typeface="Trebuchet MS"/>
              <a:cs typeface="Trebuchet MS"/>
            </a:rPr>
            <a:t>de</a:t>
          </a:r>
          <a:r>
            <a:rPr sz="950" b="1" spc="35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950" b="1" spc="10">
              <a:solidFill>
                <a:srgbClr val="2E463A"/>
              </a:solidFill>
              <a:latin typeface="Trebuchet MS"/>
              <a:cs typeface="Trebuchet MS"/>
            </a:rPr>
            <a:t>Facturación:</a:t>
          </a:r>
          <a:endParaRPr sz="850">
            <a:latin typeface="Trebuchet MS"/>
            <a:cs typeface="Trebuchet MS"/>
          </a:endParaRPr>
        </a:p>
      </xdr:txBody>
    </xdr:sp>
    <xdr:clientData/>
  </xdr:twoCellAnchor>
  <xdr:twoCellAnchor>
    <xdr:from>
      <xdr:col>0</xdr:col>
      <xdr:colOff>139106</xdr:colOff>
      <xdr:row>17</xdr:row>
      <xdr:rowOff>36066</xdr:rowOff>
    </xdr:from>
    <xdr:to>
      <xdr:col>4</xdr:col>
      <xdr:colOff>351196</xdr:colOff>
      <xdr:row>25</xdr:row>
      <xdr:rowOff>106551</xdr:rowOff>
    </xdr:to>
    <xdr:sp macro="" textlink="">
      <xdr:nvSpPr>
        <xdr:cNvPr id="10" name="object 20">
          <a:extLst>
            <a:ext uri="{FF2B5EF4-FFF2-40B4-BE49-F238E27FC236}">
              <a16:creationId xmlns:a16="http://schemas.microsoft.com/office/drawing/2014/main" id="{61B7F0A2-6BC0-4261-AE36-5FADD2BA7BC3}"/>
            </a:ext>
          </a:extLst>
        </xdr:cNvPr>
        <xdr:cNvSpPr/>
      </xdr:nvSpPr>
      <xdr:spPr>
        <a:xfrm>
          <a:off x="139106" y="3274566"/>
          <a:ext cx="3260090" cy="1594485"/>
        </a:xfrm>
        <a:custGeom>
          <a:avLst/>
          <a:gdLst/>
          <a:ahLst/>
          <a:cxnLst/>
          <a:rect l="l" t="t" r="r" b="b"/>
          <a:pathLst>
            <a:path w="3260090" h="1594485">
              <a:moveTo>
                <a:pt x="0" y="1594168"/>
              </a:moveTo>
              <a:lnTo>
                <a:pt x="6127" y="1594168"/>
              </a:lnTo>
            </a:path>
            <a:path w="3260090" h="1594485">
              <a:moveTo>
                <a:pt x="3259665" y="0"/>
              </a:moveTo>
              <a:lnTo>
                <a:pt x="0" y="0"/>
              </a:lnTo>
              <a:lnTo>
                <a:pt x="0" y="1594168"/>
              </a:lnTo>
            </a:path>
          </a:pathLst>
        </a:custGeom>
        <a:ln w="7033">
          <a:solidFill>
            <a:srgbClr val="D9D9D9"/>
          </a:solidFill>
        </a:ln>
      </xdr:spPr>
      <xdr:txBody>
        <a:bodyPr wrap="square" lIns="0" tIns="0" rIns="0" bIns="0" rtlCol="0"/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/>
        </a:p>
      </xdr:txBody>
    </xdr:sp>
    <xdr:clientData/>
  </xdr:twoCellAnchor>
  <xdr:twoCellAnchor>
    <xdr:from>
      <xdr:col>0</xdr:col>
      <xdr:colOff>207786</xdr:colOff>
      <xdr:row>25</xdr:row>
      <xdr:rowOff>37367</xdr:rowOff>
    </xdr:from>
    <xdr:to>
      <xdr:col>3</xdr:col>
      <xdr:colOff>624253</xdr:colOff>
      <xdr:row>26</xdr:row>
      <xdr:rowOff>34547</xdr:rowOff>
    </xdr:to>
    <xdr:sp macro="" textlink="">
      <xdr:nvSpPr>
        <xdr:cNvPr id="11" name="object 21">
          <a:extLst>
            <a:ext uri="{FF2B5EF4-FFF2-40B4-BE49-F238E27FC236}">
              <a16:creationId xmlns:a16="http://schemas.microsoft.com/office/drawing/2014/main" id="{1F14C0AB-E638-44AA-8BD0-0B3FFB2A0BE6}"/>
            </a:ext>
          </a:extLst>
        </xdr:cNvPr>
        <xdr:cNvSpPr txBox="1"/>
      </xdr:nvSpPr>
      <xdr:spPr>
        <a:xfrm>
          <a:off x="207786" y="4799867"/>
          <a:ext cx="2702467" cy="187680"/>
        </a:xfrm>
        <a:prstGeom prst="rect">
          <a:avLst/>
        </a:prstGeom>
      </xdr:spPr>
      <xdr:txBody>
        <a:bodyPr vert="horz" wrap="square" lIns="0" tIns="67945" rIns="0" bIns="0" rtlCol="0">
          <a:sp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12700">
            <a:lnSpc>
              <a:spcPct val="100000"/>
            </a:lnSpc>
            <a:spcBef>
              <a:spcPts val="535"/>
            </a:spcBef>
          </a:pPr>
          <a:r>
            <a:rPr sz="800" b="1" spc="15">
              <a:solidFill>
                <a:srgbClr val="2E463A"/>
              </a:solidFill>
              <a:latin typeface="Trebuchet MS"/>
              <a:cs typeface="Trebuchet MS"/>
            </a:rPr>
            <a:t>Concepto</a:t>
          </a:r>
          <a:r>
            <a:rPr sz="800" b="1" spc="-15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800" b="1" spc="15">
              <a:solidFill>
                <a:srgbClr val="2E463A"/>
              </a:solidFill>
              <a:latin typeface="Trebuchet MS"/>
              <a:cs typeface="Trebuchet MS"/>
            </a:rPr>
            <a:t>Facturado:</a:t>
          </a:r>
          <a:endParaRPr sz="800">
            <a:latin typeface="Trebuchet MS"/>
            <a:cs typeface="Trebuchet MS"/>
          </a:endParaRPr>
        </a:p>
      </xdr:txBody>
    </xdr:sp>
    <xdr:clientData/>
  </xdr:twoCellAnchor>
  <xdr:twoCellAnchor>
    <xdr:from>
      <xdr:col>0</xdr:col>
      <xdr:colOff>73507</xdr:colOff>
      <xdr:row>33</xdr:row>
      <xdr:rowOff>131885</xdr:rowOff>
    </xdr:from>
    <xdr:to>
      <xdr:col>2</xdr:col>
      <xdr:colOff>575792</xdr:colOff>
      <xdr:row>34</xdr:row>
      <xdr:rowOff>140759</xdr:rowOff>
    </xdr:to>
    <xdr:sp macro="" textlink="">
      <xdr:nvSpPr>
        <xdr:cNvPr id="17" name="object 27">
          <a:extLst>
            <a:ext uri="{FF2B5EF4-FFF2-40B4-BE49-F238E27FC236}">
              <a16:creationId xmlns:a16="http://schemas.microsoft.com/office/drawing/2014/main" id="{10D40310-217E-4AC3-B1EE-F2FC11E9A045}"/>
            </a:ext>
          </a:extLst>
        </xdr:cNvPr>
        <xdr:cNvSpPr txBox="1"/>
      </xdr:nvSpPr>
      <xdr:spPr>
        <a:xfrm>
          <a:off x="73507" y="6418385"/>
          <a:ext cx="2026285" cy="199374"/>
        </a:xfrm>
        <a:prstGeom prst="rect">
          <a:avLst/>
        </a:prstGeom>
        <a:ln w="11811">
          <a:solidFill>
            <a:srgbClr val="7BAE5F"/>
          </a:solidFill>
        </a:ln>
      </xdr:spPr>
      <xdr:txBody>
        <a:bodyPr vert="horz" wrap="square" lIns="0" tIns="62865" rIns="0" bIns="0" rtlCol="0">
          <a:no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154305">
            <a:lnSpc>
              <a:spcPct val="100000"/>
            </a:lnSpc>
            <a:spcBef>
              <a:spcPts val="495"/>
            </a:spcBef>
            <a:tabLst>
              <a:tab pos="936625" algn="l"/>
            </a:tabLst>
          </a:pPr>
          <a:r>
            <a:rPr sz="900" b="1" spc="10">
              <a:solidFill>
                <a:srgbClr val="2E463A"/>
              </a:solidFill>
              <a:latin typeface="Trebuchet MS"/>
              <a:cs typeface="Trebuchet MS"/>
            </a:rPr>
            <a:t>Valor</a:t>
          </a:r>
          <a:r>
            <a:rPr sz="900" b="1" spc="35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900" b="1" kern="1200" spc="5">
              <a:solidFill>
                <a:srgbClr val="2E463A"/>
              </a:solidFill>
              <a:latin typeface="Trebuchet MS"/>
              <a:ea typeface="+mn-ea"/>
              <a:cs typeface="Trebuchet MS"/>
            </a:rPr>
            <a:t>Total</a:t>
          </a:r>
          <a:r>
            <a:rPr sz="900" b="1" kern="1200" spc="35">
              <a:solidFill>
                <a:srgbClr val="2E463A"/>
              </a:solidFill>
              <a:latin typeface="Trebuchet MS"/>
              <a:ea typeface="+mn-ea"/>
              <a:cs typeface="Trebuchet MS"/>
            </a:rPr>
            <a:t>:	</a:t>
          </a:r>
        </a:p>
      </xdr:txBody>
    </xdr:sp>
    <xdr:clientData/>
  </xdr:twoCellAnchor>
  <xdr:twoCellAnchor>
    <xdr:from>
      <xdr:col>3</xdr:col>
      <xdr:colOff>61829</xdr:colOff>
      <xdr:row>32</xdr:row>
      <xdr:rowOff>131885</xdr:rowOff>
    </xdr:from>
    <xdr:to>
      <xdr:col>4</xdr:col>
      <xdr:colOff>404729</xdr:colOff>
      <xdr:row>34</xdr:row>
      <xdr:rowOff>111678</xdr:rowOff>
    </xdr:to>
    <xdr:sp macro="" textlink="">
      <xdr:nvSpPr>
        <xdr:cNvPr id="18" name="object 28">
          <a:extLst>
            <a:ext uri="{FF2B5EF4-FFF2-40B4-BE49-F238E27FC236}">
              <a16:creationId xmlns:a16="http://schemas.microsoft.com/office/drawing/2014/main" id="{032C1C2E-2B22-4FCA-8909-EAD5B6B1809E}"/>
            </a:ext>
          </a:extLst>
        </xdr:cNvPr>
        <xdr:cNvSpPr txBox="1"/>
      </xdr:nvSpPr>
      <xdr:spPr>
        <a:xfrm>
          <a:off x="2347829" y="6227885"/>
          <a:ext cx="1104900" cy="360793"/>
        </a:xfrm>
        <a:prstGeom prst="rect">
          <a:avLst/>
        </a:prstGeom>
        <a:solidFill>
          <a:srgbClr val="7BAE5F"/>
        </a:solidFill>
      </xdr:spPr>
      <xdr:txBody>
        <a:bodyPr vert="horz" wrap="square" lIns="0" tIns="40640" rIns="0" bIns="0" rtlCol="0">
          <a:no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210185">
            <a:lnSpc>
              <a:spcPct val="100000"/>
            </a:lnSpc>
            <a:spcBef>
              <a:spcPts val="320"/>
            </a:spcBef>
          </a:pPr>
          <a:r>
            <a:rPr sz="800" b="1" spc="15">
              <a:solidFill>
                <a:srgbClr val="FFFFFF"/>
              </a:solidFill>
              <a:latin typeface="Trebuchet MS"/>
              <a:cs typeface="Trebuchet MS"/>
            </a:rPr>
            <a:t>Pagar</a:t>
          </a:r>
          <a:r>
            <a:rPr sz="800" b="1" spc="-30">
              <a:solidFill>
                <a:srgbClr val="FFFFFF"/>
              </a:solidFill>
              <a:latin typeface="Trebuchet MS"/>
              <a:cs typeface="Trebuchet MS"/>
            </a:rPr>
            <a:t> </a:t>
          </a:r>
          <a:r>
            <a:rPr sz="800" b="1" spc="15">
              <a:solidFill>
                <a:srgbClr val="FFFFFF"/>
              </a:solidFill>
              <a:latin typeface="Trebuchet MS"/>
              <a:cs typeface="Trebuchet MS"/>
            </a:rPr>
            <a:t>hasta</a:t>
          </a:r>
          <a:r>
            <a:rPr sz="800" b="1" spc="-25">
              <a:solidFill>
                <a:srgbClr val="FFFFFF"/>
              </a:solidFill>
              <a:latin typeface="Trebuchet MS"/>
              <a:cs typeface="Trebuchet MS"/>
            </a:rPr>
            <a:t> </a:t>
          </a:r>
          <a:r>
            <a:rPr sz="800" b="1" spc="10">
              <a:solidFill>
                <a:srgbClr val="FFFFFF"/>
              </a:solidFill>
              <a:latin typeface="Trebuchet MS"/>
              <a:cs typeface="Trebuchet MS"/>
            </a:rPr>
            <a:t>el</a:t>
          </a:r>
          <a:endParaRPr sz="800">
            <a:latin typeface="Trebuchet MS"/>
            <a:cs typeface="Trebuchet MS"/>
          </a:endParaRPr>
        </a:p>
        <a:p>
          <a:pPr marL="207010" algn="l">
            <a:lnSpc>
              <a:spcPct val="100000"/>
            </a:lnSpc>
            <a:spcBef>
              <a:spcPts val="45"/>
            </a:spcBef>
          </a:pPr>
          <a:endParaRPr sz="800" b="1">
            <a:solidFill>
              <a:schemeClr val="bg1"/>
            </a:solidFill>
            <a:latin typeface="Trebuchet MS"/>
            <a:cs typeface="Trebuchet MS"/>
          </a:endParaRPr>
        </a:p>
      </xdr:txBody>
    </xdr:sp>
    <xdr:clientData/>
  </xdr:twoCellAnchor>
  <xdr:twoCellAnchor>
    <xdr:from>
      <xdr:col>2</xdr:col>
      <xdr:colOff>605841</xdr:colOff>
      <xdr:row>40</xdr:row>
      <xdr:rowOff>189344</xdr:rowOff>
    </xdr:from>
    <xdr:to>
      <xdr:col>4</xdr:col>
      <xdr:colOff>368986</xdr:colOff>
      <xdr:row>41</xdr:row>
      <xdr:rowOff>122669</xdr:rowOff>
    </xdr:to>
    <xdr:sp macro="" textlink="">
      <xdr:nvSpPr>
        <xdr:cNvPr id="19" name="object 29">
          <a:extLst>
            <a:ext uri="{FF2B5EF4-FFF2-40B4-BE49-F238E27FC236}">
              <a16:creationId xmlns:a16="http://schemas.microsoft.com/office/drawing/2014/main" id="{48D2D540-0FD9-4F01-848E-C14D703C6984}"/>
            </a:ext>
          </a:extLst>
        </xdr:cNvPr>
        <xdr:cNvSpPr txBox="1"/>
      </xdr:nvSpPr>
      <xdr:spPr>
        <a:xfrm>
          <a:off x="2129841" y="7809344"/>
          <a:ext cx="1287145" cy="123825"/>
        </a:xfrm>
        <a:prstGeom prst="rect">
          <a:avLst/>
        </a:prstGeom>
      </xdr:spPr>
      <xdr:txBody>
        <a:bodyPr vert="horz" wrap="square" lIns="0" tIns="12065" rIns="0" bIns="0" rtlCol="0">
          <a:sp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12700">
            <a:lnSpc>
              <a:spcPct val="100000"/>
            </a:lnSpc>
            <a:spcBef>
              <a:spcPts val="95"/>
            </a:spcBef>
          </a:pPr>
          <a:r>
            <a:rPr sz="650" b="1" spc="-5">
              <a:solidFill>
                <a:srgbClr val="7BAE5F"/>
              </a:solidFill>
              <a:latin typeface="Trebuchet MS"/>
              <a:cs typeface="Trebuchet MS"/>
            </a:rPr>
            <a:t>CAROLINA</a:t>
          </a:r>
          <a:r>
            <a:rPr sz="650" b="1" spc="10">
              <a:solidFill>
                <a:srgbClr val="7BAE5F"/>
              </a:solidFill>
              <a:latin typeface="Trebuchet MS"/>
              <a:cs typeface="Trebuchet MS"/>
            </a:rPr>
            <a:t> </a:t>
          </a:r>
          <a:r>
            <a:rPr sz="650" b="1" spc="-10">
              <a:solidFill>
                <a:srgbClr val="7BAE5F"/>
              </a:solidFill>
              <a:latin typeface="Trebuchet MS"/>
              <a:cs typeface="Trebuchet MS"/>
            </a:rPr>
            <a:t>ANDREA</a:t>
          </a:r>
          <a:r>
            <a:rPr sz="650" b="1" spc="10">
              <a:solidFill>
                <a:srgbClr val="7BAE5F"/>
              </a:solidFill>
              <a:latin typeface="Trebuchet MS"/>
              <a:cs typeface="Trebuchet MS"/>
            </a:rPr>
            <a:t> </a:t>
          </a:r>
          <a:r>
            <a:rPr sz="650" b="1" spc="-10">
              <a:solidFill>
                <a:srgbClr val="7BAE5F"/>
              </a:solidFill>
              <a:latin typeface="Trebuchet MS"/>
              <a:cs typeface="Trebuchet MS"/>
            </a:rPr>
            <a:t>MEJÍA</a:t>
          </a:r>
          <a:r>
            <a:rPr sz="650" b="1" spc="-5">
              <a:solidFill>
                <a:srgbClr val="7BAE5F"/>
              </a:solidFill>
              <a:latin typeface="Trebuchet MS"/>
              <a:cs typeface="Trebuchet MS"/>
            </a:rPr>
            <a:t> </a:t>
          </a:r>
          <a:r>
            <a:rPr sz="650" b="1" spc="-10">
              <a:solidFill>
                <a:srgbClr val="7BAE5F"/>
              </a:solidFill>
              <a:latin typeface="Trebuchet MS"/>
              <a:cs typeface="Trebuchet MS"/>
            </a:rPr>
            <a:t>MATOS</a:t>
          </a:r>
          <a:endParaRPr sz="650">
            <a:latin typeface="Trebuchet MS"/>
            <a:cs typeface="Trebuchet MS"/>
          </a:endParaRPr>
        </a:p>
      </xdr:txBody>
    </xdr:sp>
    <xdr:clientData/>
  </xdr:twoCellAnchor>
  <xdr:twoCellAnchor>
    <xdr:from>
      <xdr:col>2</xdr:col>
      <xdr:colOff>611682</xdr:colOff>
      <xdr:row>41</xdr:row>
      <xdr:rowOff>98793</xdr:rowOff>
    </xdr:from>
    <xdr:to>
      <xdr:col>3</xdr:col>
      <xdr:colOff>666926</xdr:colOff>
      <xdr:row>42</xdr:row>
      <xdr:rowOff>32118</xdr:rowOff>
    </xdr:to>
    <xdr:sp macro="" textlink="">
      <xdr:nvSpPr>
        <xdr:cNvPr id="20" name="object 30">
          <a:extLst>
            <a:ext uri="{FF2B5EF4-FFF2-40B4-BE49-F238E27FC236}">
              <a16:creationId xmlns:a16="http://schemas.microsoft.com/office/drawing/2014/main" id="{C8640F23-A3B1-4B77-A637-A1D89FF39212}"/>
            </a:ext>
          </a:extLst>
        </xdr:cNvPr>
        <xdr:cNvSpPr txBox="1"/>
      </xdr:nvSpPr>
      <xdr:spPr>
        <a:xfrm>
          <a:off x="2135682" y="7909293"/>
          <a:ext cx="817244" cy="123825"/>
        </a:xfrm>
        <a:prstGeom prst="rect">
          <a:avLst/>
        </a:prstGeom>
      </xdr:spPr>
      <xdr:txBody>
        <a:bodyPr vert="horz" wrap="square" lIns="0" tIns="12065" rIns="0" bIns="0" rtlCol="0">
          <a:sp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12700">
            <a:lnSpc>
              <a:spcPct val="100000"/>
            </a:lnSpc>
            <a:spcBef>
              <a:spcPts val="95"/>
            </a:spcBef>
          </a:pPr>
          <a:r>
            <a:rPr sz="650" b="1" spc="-10">
              <a:solidFill>
                <a:srgbClr val="2E463A"/>
              </a:solidFill>
              <a:latin typeface="Trebuchet MS"/>
              <a:cs typeface="Trebuchet MS"/>
            </a:rPr>
            <a:t>Representante</a:t>
          </a:r>
          <a:r>
            <a:rPr sz="650" b="1" spc="20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650" b="1" spc="-10">
              <a:solidFill>
                <a:srgbClr val="2E463A"/>
              </a:solidFill>
              <a:latin typeface="Trebuchet MS"/>
              <a:cs typeface="Trebuchet MS"/>
            </a:rPr>
            <a:t>Legal</a:t>
          </a:r>
          <a:endParaRPr sz="650">
            <a:latin typeface="Trebuchet MS"/>
            <a:cs typeface="Trebuchet MS"/>
          </a:endParaRPr>
        </a:p>
      </xdr:txBody>
    </xdr:sp>
    <xdr:clientData/>
  </xdr:twoCellAnchor>
  <xdr:twoCellAnchor>
    <xdr:from>
      <xdr:col>0</xdr:col>
      <xdr:colOff>93878</xdr:colOff>
      <xdr:row>46</xdr:row>
      <xdr:rowOff>19177</xdr:rowOff>
    </xdr:from>
    <xdr:to>
      <xdr:col>4</xdr:col>
      <xdr:colOff>382803</xdr:colOff>
      <xdr:row>46</xdr:row>
      <xdr:rowOff>164892</xdr:rowOff>
    </xdr:to>
    <xdr:sp macro="" textlink="">
      <xdr:nvSpPr>
        <xdr:cNvPr id="21" name="object 31">
          <a:extLst>
            <a:ext uri="{FF2B5EF4-FFF2-40B4-BE49-F238E27FC236}">
              <a16:creationId xmlns:a16="http://schemas.microsoft.com/office/drawing/2014/main" id="{E2708CF5-1A58-4BA4-8D8C-B72A961FC128}"/>
            </a:ext>
          </a:extLst>
        </xdr:cNvPr>
        <xdr:cNvSpPr txBox="1"/>
      </xdr:nvSpPr>
      <xdr:spPr>
        <a:xfrm>
          <a:off x="93878" y="8782177"/>
          <a:ext cx="3336925" cy="145715"/>
        </a:xfrm>
        <a:prstGeom prst="rect">
          <a:avLst/>
        </a:prstGeom>
      </xdr:spPr>
      <xdr:txBody>
        <a:bodyPr vert="horz" wrap="square" lIns="0" tIns="12065" rIns="0" bIns="0" rtlCol="0">
          <a:sp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12700">
            <a:lnSpc>
              <a:spcPct val="100000"/>
            </a:lnSpc>
            <a:spcBef>
              <a:spcPts val="95"/>
            </a:spcBef>
          </a:pPr>
          <a:r>
            <a:rPr sz="750" b="1" spc="-5">
              <a:solidFill>
                <a:srgbClr val="2E463A"/>
              </a:solidFill>
              <a:latin typeface="Calibri"/>
              <a:cs typeface="Calibri"/>
            </a:rPr>
            <a:t>De conformidad</a:t>
          </a:r>
          <a:r>
            <a:rPr sz="750" b="1" spc="-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50" b="1" spc="-5">
              <a:solidFill>
                <a:srgbClr val="2E463A"/>
              </a:solidFill>
              <a:latin typeface="Calibri"/>
              <a:cs typeface="Calibri"/>
            </a:rPr>
            <a:t>con</a:t>
          </a:r>
          <a:r>
            <a:rPr sz="750" b="1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50" b="1" spc="-5">
              <a:solidFill>
                <a:srgbClr val="2E463A"/>
              </a:solidFill>
              <a:latin typeface="Calibri"/>
              <a:cs typeface="Calibri"/>
            </a:rPr>
            <a:t>el Decreto</a:t>
          </a:r>
          <a:r>
            <a:rPr sz="750" b="1" spc="-3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50" b="1" spc="-5">
              <a:solidFill>
                <a:srgbClr val="2E463A"/>
              </a:solidFill>
              <a:latin typeface="Calibri"/>
              <a:cs typeface="Calibri"/>
            </a:rPr>
            <a:t>2150</a:t>
          </a:r>
          <a:r>
            <a:rPr sz="750" b="1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50" b="1" spc="-5">
              <a:solidFill>
                <a:srgbClr val="2E463A"/>
              </a:solidFill>
              <a:latin typeface="Calibri"/>
              <a:cs typeface="Calibri"/>
            </a:rPr>
            <a:t>de</a:t>
          </a:r>
          <a:r>
            <a:rPr sz="750" b="1" spc="-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50" b="1" spc="-5">
              <a:solidFill>
                <a:srgbClr val="2E463A"/>
              </a:solidFill>
              <a:latin typeface="Calibri"/>
              <a:cs typeface="Calibri"/>
            </a:rPr>
            <a:t>1995,</a:t>
          </a:r>
          <a:r>
            <a:rPr sz="750" b="1" spc="-10">
              <a:solidFill>
                <a:srgbClr val="2E463A"/>
              </a:solidFill>
              <a:latin typeface="Calibri"/>
              <a:cs typeface="Calibri"/>
            </a:rPr>
            <a:t> la</a:t>
          </a:r>
          <a:r>
            <a:rPr sz="750" b="1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50" b="1" spc="-5">
              <a:solidFill>
                <a:srgbClr val="2E463A"/>
              </a:solidFill>
              <a:latin typeface="Calibri"/>
              <a:cs typeface="Calibri"/>
            </a:rPr>
            <a:t>firma</a:t>
          </a:r>
          <a:r>
            <a:rPr sz="750" b="1" spc="-1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50" b="1" spc="-5">
              <a:solidFill>
                <a:srgbClr val="2E463A"/>
              </a:solidFill>
              <a:latin typeface="Calibri"/>
              <a:cs typeface="Calibri"/>
            </a:rPr>
            <a:t>mecánica</a:t>
          </a:r>
          <a:r>
            <a:rPr sz="750" b="1" spc="-1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50" b="1" spc="-5">
              <a:solidFill>
                <a:srgbClr val="2E463A"/>
              </a:solidFill>
              <a:latin typeface="Calibri"/>
              <a:cs typeface="Calibri"/>
            </a:rPr>
            <a:t>que</a:t>
          </a:r>
          <a:r>
            <a:rPr sz="750" b="1" spc="-1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50" b="1" spc="-5">
              <a:solidFill>
                <a:srgbClr val="2E463A"/>
              </a:solidFill>
              <a:latin typeface="Calibri"/>
              <a:cs typeface="Calibri"/>
            </a:rPr>
            <a:t>aparece</a:t>
          </a:r>
          <a:r>
            <a:rPr sz="750" b="1" spc="-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50" b="1" spc="-5">
              <a:solidFill>
                <a:srgbClr val="2E463A"/>
              </a:solidFill>
              <a:latin typeface="Calibri"/>
              <a:cs typeface="Calibri"/>
            </a:rPr>
            <a:t>en</a:t>
          </a:r>
          <a:r>
            <a:rPr sz="750" b="1" spc="-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50" b="1" spc="-5">
              <a:solidFill>
                <a:srgbClr val="2E463A"/>
              </a:solidFill>
              <a:latin typeface="Calibri"/>
              <a:cs typeface="Calibri"/>
            </a:rPr>
            <a:t>este</a:t>
          </a:r>
          <a:endParaRPr sz="750">
            <a:latin typeface="Calibri"/>
            <a:cs typeface="Calibri"/>
          </a:endParaRPr>
        </a:p>
      </xdr:txBody>
    </xdr:sp>
    <xdr:clientData/>
  </xdr:twoCellAnchor>
  <xdr:twoCellAnchor>
    <xdr:from>
      <xdr:col>0</xdr:col>
      <xdr:colOff>545897</xdr:colOff>
      <xdr:row>46</xdr:row>
      <xdr:rowOff>141930</xdr:rowOff>
    </xdr:from>
    <xdr:to>
      <xdr:col>3</xdr:col>
      <xdr:colOff>703377</xdr:colOff>
      <xdr:row>47</xdr:row>
      <xdr:rowOff>91684</xdr:rowOff>
    </xdr:to>
    <xdr:sp macro="" textlink="">
      <xdr:nvSpPr>
        <xdr:cNvPr id="22" name="object 32">
          <a:extLst>
            <a:ext uri="{FF2B5EF4-FFF2-40B4-BE49-F238E27FC236}">
              <a16:creationId xmlns:a16="http://schemas.microsoft.com/office/drawing/2014/main" id="{501ACC3F-9134-4C36-8129-4CCD79D8973D}"/>
            </a:ext>
          </a:extLst>
        </xdr:cNvPr>
        <xdr:cNvSpPr txBox="1"/>
      </xdr:nvSpPr>
      <xdr:spPr>
        <a:xfrm>
          <a:off x="545897" y="8904930"/>
          <a:ext cx="2443480" cy="140254"/>
        </a:xfrm>
        <a:prstGeom prst="rect">
          <a:avLst/>
        </a:prstGeom>
      </xdr:spPr>
      <xdr:txBody>
        <a:bodyPr vert="horz" wrap="square" lIns="0" tIns="12065" rIns="0" bIns="0" rtlCol="0">
          <a:sp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12700">
            <a:lnSpc>
              <a:spcPct val="100000"/>
            </a:lnSpc>
            <a:spcBef>
              <a:spcPts val="95"/>
            </a:spcBef>
          </a:pPr>
          <a:r>
            <a:rPr sz="750" b="1" spc="-5">
              <a:solidFill>
                <a:srgbClr val="2E463A"/>
              </a:solidFill>
              <a:latin typeface="Calibri"/>
              <a:cs typeface="Calibri"/>
            </a:rPr>
            <a:t>documento</a:t>
          </a:r>
          <a:r>
            <a:rPr sz="750" b="1" spc="-2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50" b="1" spc="-5">
              <a:solidFill>
                <a:srgbClr val="2E463A"/>
              </a:solidFill>
              <a:latin typeface="Calibri"/>
              <a:cs typeface="Calibri"/>
            </a:rPr>
            <a:t>tiene plena</a:t>
          </a:r>
          <a:r>
            <a:rPr sz="750" b="1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50" b="1" spc="-5">
              <a:solidFill>
                <a:srgbClr val="2E463A"/>
              </a:solidFill>
              <a:latin typeface="Calibri"/>
              <a:cs typeface="Calibri"/>
            </a:rPr>
            <a:t>validez para</a:t>
          </a:r>
          <a:r>
            <a:rPr sz="750" b="1" spc="-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50" b="1" spc="-5">
              <a:solidFill>
                <a:srgbClr val="2E463A"/>
              </a:solidFill>
              <a:latin typeface="Calibri"/>
              <a:cs typeface="Calibri"/>
            </a:rPr>
            <a:t>todos</a:t>
          </a:r>
          <a:r>
            <a:rPr sz="750" b="1" spc="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50" b="1" spc="-5">
              <a:solidFill>
                <a:srgbClr val="2E463A"/>
              </a:solidFill>
              <a:latin typeface="Calibri"/>
              <a:cs typeface="Calibri"/>
            </a:rPr>
            <a:t>los</a:t>
          </a:r>
          <a:r>
            <a:rPr sz="750" b="1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50" b="1" spc="-5">
              <a:solidFill>
                <a:srgbClr val="2E463A"/>
              </a:solidFill>
              <a:latin typeface="Calibri"/>
              <a:cs typeface="Calibri"/>
            </a:rPr>
            <a:t>efectos</a:t>
          </a:r>
          <a:r>
            <a:rPr sz="750" b="1" spc="-1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50" b="1" spc="-5">
              <a:solidFill>
                <a:srgbClr val="2E463A"/>
              </a:solidFill>
              <a:latin typeface="Calibri"/>
              <a:cs typeface="Calibri"/>
            </a:rPr>
            <a:t>legales.</a:t>
          </a:r>
          <a:endParaRPr sz="750">
            <a:latin typeface="Calibri"/>
            <a:cs typeface="Calibri"/>
          </a:endParaRPr>
        </a:p>
      </xdr:txBody>
    </xdr:sp>
    <xdr:clientData/>
  </xdr:twoCellAnchor>
  <xdr:twoCellAnchor>
    <xdr:from>
      <xdr:col>0</xdr:col>
      <xdr:colOff>69723</xdr:colOff>
      <xdr:row>35</xdr:row>
      <xdr:rowOff>49809</xdr:rowOff>
    </xdr:from>
    <xdr:to>
      <xdr:col>4</xdr:col>
      <xdr:colOff>421513</xdr:colOff>
      <xdr:row>38</xdr:row>
      <xdr:rowOff>169189</xdr:rowOff>
    </xdr:to>
    <xdr:sp macro="" textlink="">
      <xdr:nvSpPr>
        <xdr:cNvPr id="23" name="object 33">
          <a:extLst>
            <a:ext uri="{FF2B5EF4-FFF2-40B4-BE49-F238E27FC236}">
              <a16:creationId xmlns:a16="http://schemas.microsoft.com/office/drawing/2014/main" id="{D34B3EF2-C8A7-4400-BA35-8380CFEDBA4F}"/>
            </a:ext>
          </a:extLst>
        </xdr:cNvPr>
        <xdr:cNvSpPr txBox="1"/>
      </xdr:nvSpPr>
      <xdr:spPr>
        <a:xfrm>
          <a:off x="69723" y="6717309"/>
          <a:ext cx="3399790" cy="690880"/>
        </a:xfrm>
        <a:prstGeom prst="rect">
          <a:avLst/>
        </a:prstGeom>
        <a:ln w="11810">
          <a:solidFill>
            <a:srgbClr val="7BAE5F"/>
          </a:solidFill>
        </a:ln>
      </xdr:spPr>
      <xdr:txBody>
        <a:bodyPr vert="horz" wrap="square" lIns="0" tIns="34290" rIns="0" bIns="0" rtlCol="0">
          <a:sp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107314" marR="95885" indent="-3175" algn="ctr">
            <a:lnSpc>
              <a:spcPct val="105000"/>
            </a:lnSpc>
            <a:spcBef>
              <a:spcPts val="270"/>
            </a:spcBef>
          </a:pPr>
          <a:r>
            <a:rPr sz="900" b="1" spc="10">
              <a:solidFill>
                <a:srgbClr val="2E463A"/>
              </a:solidFill>
              <a:latin typeface="Calibri"/>
              <a:cs typeface="Calibri"/>
            </a:rPr>
            <a:t>La</a:t>
          </a:r>
          <a:r>
            <a:rPr sz="900" b="1" spc="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900" b="1" spc="10">
              <a:solidFill>
                <a:srgbClr val="2E463A"/>
              </a:solidFill>
              <a:latin typeface="Calibri"/>
              <a:cs typeface="Calibri"/>
            </a:rPr>
            <a:t>presente</a:t>
          </a:r>
          <a:r>
            <a:rPr sz="900" b="1" spc="5">
              <a:solidFill>
                <a:srgbClr val="2E463A"/>
              </a:solidFill>
              <a:latin typeface="Calibri"/>
              <a:cs typeface="Calibri"/>
            </a:rPr>
            <a:t> factura</a:t>
          </a:r>
          <a:r>
            <a:rPr sz="900" b="1" spc="10">
              <a:solidFill>
                <a:srgbClr val="2E463A"/>
              </a:solidFill>
              <a:latin typeface="Calibri"/>
              <a:cs typeface="Calibri"/>
            </a:rPr>
            <a:t> presta</a:t>
          </a:r>
          <a:r>
            <a:rPr sz="900" b="1" spc="-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900" b="1" spc="10">
              <a:solidFill>
                <a:srgbClr val="2E463A"/>
              </a:solidFill>
              <a:latin typeface="Calibri"/>
              <a:cs typeface="Calibri"/>
            </a:rPr>
            <a:t>mérito</a:t>
          </a:r>
          <a:r>
            <a:rPr sz="900" b="1" spc="5">
              <a:solidFill>
                <a:srgbClr val="2E463A"/>
              </a:solidFill>
              <a:latin typeface="Calibri"/>
              <a:cs typeface="Calibri"/>
            </a:rPr>
            <a:t> ejecutivo</a:t>
          </a:r>
          <a:r>
            <a:rPr sz="900" b="1" spc="4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900" b="1" spc="10">
              <a:solidFill>
                <a:srgbClr val="2E463A"/>
              </a:solidFill>
              <a:latin typeface="Calibri"/>
              <a:cs typeface="Calibri"/>
            </a:rPr>
            <a:t>en</a:t>
          </a:r>
          <a:r>
            <a:rPr sz="900" b="1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900" b="1" spc="10">
              <a:solidFill>
                <a:srgbClr val="2E463A"/>
              </a:solidFill>
              <a:latin typeface="Calibri"/>
              <a:cs typeface="Calibri"/>
            </a:rPr>
            <a:t>virtud</a:t>
          </a:r>
          <a:r>
            <a:rPr sz="900" b="1" spc="2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900" b="1" spc="10">
              <a:solidFill>
                <a:srgbClr val="2E463A"/>
              </a:solidFill>
              <a:latin typeface="Calibri"/>
              <a:cs typeface="Calibri"/>
            </a:rPr>
            <a:t>del artículo </a:t>
          </a:r>
          <a:r>
            <a:rPr sz="900" b="1" spc="1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900" b="1" spc="10">
              <a:solidFill>
                <a:srgbClr val="2E463A"/>
              </a:solidFill>
              <a:latin typeface="Calibri"/>
              <a:cs typeface="Calibri"/>
            </a:rPr>
            <a:t>130</a:t>
          </a:r>
          <a:r>
            <a:rPr sz="900" b="1" spc="2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900" b="1" spc="15">
              <a:solidFill>
                <a:srgbClr val="2E463A"/>
              </a:solidFill>
              <a:latin typeface="Calibri"/>
              <a:cs typeface="Calibri"/>
            </a:rPr>
            <a:t>de</a:t>
          </a:r>
          <a:r>
            <a:rPr sz="900" b="1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900" b="1" spc="5">
              <a:solidFill>
                <a:srgbClr val="2E463A"/>
              </a:solidFill>
              <a:latin typeface="Calibri"/>
              <a:cs typeface="Calibri"/>
            </a:rPr>
            <a:t>la</a:t>
          </a:r>
          <a:r>
            <a:rPr sz="900" b="1" spc="10">
              <a:solidFill>
                <a:srgbClr val="2E463A"/>
              </a:solidFill>
              <a:latin typeface="Calibri"/>
              <a:cs typeface="Calibri"/>
            </a:rPr>
            <a:t> Ley</a:t>
          </a:r>
          <a:r>
            <a:rPr sz="900" b="1" spc="1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900" b="1" spc="10">
              <a:solidFill>
                <a:srgbClr val="2E463A"/>
              </a:solidFill>
              <a:latin typeface="Calibri"/>
              <a:cs typeface="Calibri"/>
            </a:rPr>
            <a:t>142</a:t>
          </a:r>
          <a:r>
            <a:rPr sz="900" b="1" spc="2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900" b="1" spc="15">
              <a:solidFill>
                <a:srgbClr val="2E463A"/>
              </a:solidFill>
              <a:latin typeface="Calibri"/>
              <a:cs typeface="Calibri"/>
            </a:rPr>
            <a:t>de</a:t>
          </a:r>
          <a:r>
            <a:rPr sz="900" b="1" spc="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900" b="1" spc="10">
              <a:solidFill>
                <a:srgbClr val="2E463A"/>
              </a:solidFill>
              <a:latin typeface="Calibri"/>
              <a:cs typeface="Calibri"/>
            </a:rPr>
            <a:t>1994,</a:t>
          </a:r>
          <a:r>
            <a:rPr sz="900" b="1" spc="1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900" b="1" spc="10">
              <a:solidFill>
                <a:srgbClr val="2E463A"/>
              </a:solidFill>
              <a:latin typeface="Calibri"/>
              <a:cs typeface="Calibri"/>
            </a:rPr>
            <a:t>modificado </a:t>
          </a:r>
          <a:r>
            <a:rPr sz="900" b="1" spc="15">
              <a:solidFill>
                <a:srgbClr val="2E463A"/>
              </a:solidFill>
              <a:latin typeface="Calibri"/>
              <a:cs typeface="Calibri"/>
            </a:rPr>
            <a:t>por</a:t>
          </a:r>
          <a:r>
            <a:rPr sz="900" b="1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900" b="1" spc="5">
              <a:solidFill>
                <a:srgbClr val="2E463A"/>
              </a:solidFill>
              <a:latin typeface="Calibri"/>
              <a:cs typeface="Calibri"/>
            </a:rPr>
            <a:t>el</a:t>
          </a:r>
          <a:r>
            <a:rPr sz="900" b="1" spc="10">
              <a:solidFill>
                <a:srgbClr val="2E463A"/>
              </a:solidFill>
              <a:latin typeface="Calibri"/>
              <a:cs typeface="Calibri"/>
            </a:rPr>
            <a:t> artículo</a:t>
          </a:r>
          <a:r>
            <a:rPr sz="900" b="1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900" b="1" spc="10">
              <a:solidFill>
                <a:srgbClr val="2E463A"/>
              </a:solidFill>
              <a:latin typeface="Calibri"/>
              <a:cs typeface="Calibri"/>
            </a:rPr>
            <a:t>18</a:t>
          </a:r>
          <a:r>
            <a:rPr sz="900" b="1" spc="2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900" b="1" spc="15">
              <a:solidFill>
                <a:srgbClr val="2E463A"/>
              </a:solidFill>
              <a:latin typeface="Calibri"/>
              <a:cs typeface="Calibri"/>
            </a:rPr>
            <a:t>de</a:t>
          </a:r>
          <a:r>
            <a:rPr sz="900" b="1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900" b="1" spc="5">
              <a:solidFill>
                <a:srgbClr val="2E463A"/>
              </a:solidFill>
              <a:latin typeface="Calibri"/>
              <a:cs typeface="Calibri"/>
            </a:rPr>
            <a:t>la</a:t>
          </a:r>
          <a:r>
            <a:rPr sz="900" b="1" spc="2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900" b="1" spc="10">
              <a:solidFill>
                <a:srgbClr val="2E463A"/>
              </a:solidFill>
              <a:latin typeface="Calibri"/>
              <a:cs typeface="Calibri"/>
            </a:rPr>
            <a:t>Ley </a:t>
          </a:r>
          <a:r>
            <a:rPr sz="900" b="1" spc="-19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900" b="1" spc="10">
              <a:solidFill>
                <a:srgbClr val="2E463A"/>
              </a:solidFill>
              <a:latin typeface="Calibri"/>
              <a:cs typeface="Calibri"/>
            </a:rPr>
            <a:t>689 </a:t>
          </a:r>
          <a:r>
            <a:rPr sz="900" b="1" spc="15">
              <a:solidFill>
                <a:srgbClr val="2E463A"/>
              </a:solidFill>
              <a:latin typeface="Calibri"/>
              <a:cs typeface="Calibri"/>
            </a:rPr>
            <a:t>de </a:t>
          </a:r>
          <a:r>
            <a:rPr sz="900" b="1" spc="10">
              <a:solidFill>
                <a:srgbClr val="2E463A"/>
              </a:solidFill>
              <a:latin typeface="Calibri"/>
              <a:cs typeface="Calibri"/>
            </a:rPr>
            <a:t>2001. </a:t>
          </a:r>
          <a:r>
            <a:rPr sz="900" b="1" spc="5">
              <a:solidFill>
                <a:srgbClr val="2E463A"/>
              </a:solidFill>
              <a:latin typeface="Calibri"/>
              <a:cs typeface="Calibri"/>
            </a:rPr>
            <a:t>Sí el </a:t>
          </a:r>
          <a:r>
            <a:rPr sz="900" b="1" spc="10">
              <a:solidFill>
                <a:srgbClr val="2E463A"/>
              </a:solidFill>
              <a:latin typeface="Calibri"/>
              <a:cs typeface="Calibri"/>
            </a:rPr>
            <a:t>pago es realizado en cheque, éste </a:t>
          </a:r>
          <a:r>
            <a:rPr sz="900" b="1" spc="15">
              <a:solidFill>
                <a:srgbClr val="2E463A"/>
              </a:solidFill>
              <a:latin typeface="Calibri"/>
              <a:cs typeface="Calibri"/>
            </a:rPr>
            <a:t>debe </a:t>
          </a:r>
          <a:r>
            <a:rPr sz="900" b="1" spc="10">
              <a:solidFill>
                <a:srgbClr val="2E463A"/>
              </a:solidFill>
              <a:latin typeface="Calibri"/>
              <a:cs typeface="Calibri"/>
            </a:rPr>
            <a:t>ser </a:t>
          </a:r>
          <a:r>
            <a:rPr sz="900" b="1" spc="1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900" b="1" spc="10">
              <a:solidFill>
                <a:srgbClr val="2E463A"/>
              </a:solidFill>
              <a:latin typeface="Calibri"/>
              <a:cs typeface="Calibri"/>
            </a:rPr>
            <a:t>girado</a:t>
          </a:r>
          <a:r>
            <a:rPr sz="900" b="1" spc="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900" b="1" spc="10">
              <a:solidFill>
                <a:srgbClr val="2E463A"/>
              </a:solidFill>
              <a:latin typeface="Calibri"/>
              <a:cs typeface="Calibri"/>
            </a:rPr>
            <a:t>a</a:t>
          </a:r>
          <a:r>
            <a:rPr sz="900" b="1" spc="5">
              <a:solidFill>
                <a:srgbClr val="2E463A"/>
              </a:solidFill>
              <a:latin typeface="Calibri"/>
              <a:cs typeface="Calibri"/>
            </a:rPr>
            <a:t> favor </a:t>
          </a:r>
          <a:r>
            <a:rPr sz="900" b="1" spc="15">
              <a:solidFill>
                <a:srgbClr val="2E463A"/>
              </a:solidFill>
              <a:latin typeface="Calibri"/>
              <a:cs typeface="Calibri"/>
            </a:rPr>
            <a:t>de</a:t>
          </a:r>
          <a:r>
            <a:rPr sz="900" b="1" spc="5">
              <a:solidFill>
                <a:srgbClr val="2E463A"/>
              </a:solidFill>
              <a:latin typeface="Calibri"/>
              <a:cs typeface="Calibri"/>
            </a:rPr>
            <a:t> CEN S.A.S.</a:t>
          </a:r>
          <a:endParaRPr sz="900">
            <a:latin typeface="Calibri"/>
            <a:cs typeface="Calibri"/>
          </a:endParaRPr>
        </a:p>
      </xdr:txBody>
    </xdr:sp>
    <xdr:clientData/>
  </xdr:twoCellAnchor>
  <xdr:twoCellAnchor>
    <xdr:from>
      <xdr:col>4</xdr:col>
      <xdr:colOff>575106</xdr:colOff>
      <xdr:row>32</xdr:row>
      <xdr:rowOff>36779</xdr:rowOff>
    </xdr:from>
    <xdr:to>
      <xdr:col>9</xdr:col>
      <xdr:colOff>41706</xdr:colOff>
      <xdr:row>35</xdr:row>
      <xdr:rowOff>171399</xdr:rowOff>
    </xdr:to>
    <xdr:sp macro="" textlink="">
      <xdr:nvSpPr>
        <xdr:cNvPr id="24" name="object 34">
          <a:extLst>
            <a:ext uri="{FF2B5EF4-FFF2-40B4-BE49-F238E27FC236}">
              <a16:creationId xmlns:a16="http://schemas.microsoft.com/office/drawing/2014/main" id="{732352FC-A0D3-47C4-8562-A7057ADCA568}"/>
            </a:ext>
          </a:extLst>
        </xdr:cNvPr>
        <xdr:cNvSpPr txBox="1"/>
      </xdr:nvSpPr>
      <xdr:spPr>
        <a:xfrm>
          <a:off x="3623106" y="6132779"/>
          <a:ext cx="3308350" cy="706120"/>
        </a:xfrm>
        <a:prstGeom prst="rect">
          <a:avLst/>
        </a:prstGeom>
        <a:ln w="11811">
          <a:solidFill>
            <a:srgbClr val="7BAE5F"/>
          </a:solidFill>
        </a:ln>
      </xdr:spPr>
      <xdr:txBody>
        <a:bodyPr vert="horz" wrap="square" lIns="0" tIns="0" rIns="0" bIns="0" rtlCol="0">
          <a:sp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>
            <a:lnSpc>
              <a:spcPct val="100000"/>
            </a:lnSpc>
          </a:pPr>
          <a:endParaRPr sz="650">
            <a:latin typeface="Times New Roman"/>
            <a:cs typeface="Times New Roman"/>
          </a:endParaRPr>
        </a:p>
        <a:p>
          <a:pPr marL="152400">
            <a:lnSpc>
              <a:spcPct val="100000"/>
            </a:lnSpc>
          </a:pPr>
          <a:r>
            <a:rPr sz="700" b="1" spc="-5">
              <a:solidFill>
                <a:srgbClr val="2E463A"/>
              </a:solidFill>
              <a:latin typeface="Calibri"/>
              <a:cs typeface="Calibri"/>
            </a:rPr>
            <a:t>INSTRUCCIONES</a:t>
          </a:r>
          <a:r>
            <a:rPr sz="700" b="1" spc="-3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00" b="1" spc="-5">
              <a:solidFill>
                <a:srgbClr val="2E463A"/>
              </a:solidFill>
              <a:latin typeface="Calibri"/>
              <a:cs typeface="Calibri"/>
            </a:rPr>
            <a:t>PARA</a:t>
          </a:r>
          <a:r>
            <a:rPr sz="700" b="1" spc="-2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00" b="1">
              <a:solidFill>
                <a:srgbClr val="2E463A"/>
              </a:solidFill>
              <a:latin typeface="Calibri"/>
              <a:cs typeface="Calibri"/>
            </a:rPr>
            <a:t>EL</a:t>
          </a:r>
          <a:r>
            <a:rPr sz="700" b="1" spc="-1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00" b="1">
              <a:solidFill>
                <a:srgbClr val="2E463A"/>
              </a:solidFill>
              <a:latin typeface="Calibri"/>
              <a:cs typeface="Calibri"/>
            </a:rPr>
            <a:t>PAGO</a:t>
          </a:r>
          <a:r>
            <a:rPr sz="750" b="1">
              <a:solidFill>
                <a:srgbClr val="2E463A"/>
              </a:solidFill>
              <a:latin typeface="Calibri"/>
              <a:cs typeface="Calibri"/>
            </a:rPr>
            <a:t>:</a:t>
          </a:r>
          <a:endParaRPr sz="750">
            <a:latin typeface="Calibri"/>
            <a:cs typeface="Calibri"/>
          </a:endParaRPr>
        </a:p>
        <a:p>
          <a:pPr marL="152400" marR="59690">
            <a:lnSpc>
              <a:spcPct val="101200"/>
            </a:lnSpc>
            <a:spcBef>
              <a:spcPts val="465"/>
            </a:spcBef>
            <a:buChar char="-"/>
            <a:tabLst>
              <a:tab pos="199390" algn="l"/>
            </a:tabLst>
          </a:pPr>
          <a:r>
            <a:rPr sz="700" b="1">
              <a:solidFill>
                <a:srgbClr val="2E463A"/>
              </a:solidFill>
              <a:latin typeface="Calibri"/>
              <a:cs typeface="Calibri"/>
            </a:rPr>
            <a:t>Pagos</a:t>
          </a:r>
          <a:r>
            <a:rPr sz="700" b="1" spc="-1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00" b="1" spc="-5">
              <a:solidFill>
                <a:srgbClr val="2E463A"/>
              </a:solidFill>
              <a:latin typeface="Calibri"/>
              <a:cs typeface="Calibri"/>
            </a:rPr>
            <a:t>con</a:t>
          </a:r>
          <a:r>
            <a:rPr sz="700" b="1" spc="-1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00" b="1">
              <a:solidFill>
                <a:srgbClr val="2E463A"/>
              </a:solidFill>
              <a:latin typeface="Calibri"/>
              <a:cs typeface="Calibri"/>
            </a:rPr>
            <a:t>cheque</a:t>
          </a:r>
          <a:r>
            <a:rPr sz="700" b="1" spc="-2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00" b="1">
              <a:solidFill>
                <a:srgbClr val="2E463A"/>
              </a:solidFill>
              <a:latin typeface="Calibri"/>
              <a:cs typeface="Calibri"/>
            </a:rPr>
            <a:t>/</a:t>
          </a:r>
          <a:r>
            <a:rPr sz="700" b="1" spc="-5">
              <a:solidFill>
                <a:srgbClr val="2E463A"/>
              </a:solidFill>
              <a:latin typeface="Calibri"/>
              <a:cs typeface="Calibri"/>
            </a:rPr>
            <a:t> Girar </a:t>
          </a:r>
          <a:r>
            <a:rPr sz="700" b="1">
              <a:solidFill>
                <a:srgbClr val="2E463A"/>
              </a:solidFill>
              <a:latin typeface="Calibri"/>
              <a:cs typeface="Calibri"/>
            </a:rPr>
            <a:t>el</a:t>
          </a:r>
          <a:r>
            <a:rPr sz="700" b="1" spc="-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00" b="1">
              <a:solidFill>
                <a:srgbClr val="2E463A"/>
              </a:solidFill>
              <a:latin typeface="Calibri"/>
              <a:cs typeface="Calibri"/>
            </a:rPr>
            <a:t>cheque</a:t>
          </a:r>
          <a:r>
            <a:rPr sz="700" b="1" spc="-2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00" b="1">
              <a:solidFill>
                <a:srgbClr val="2E463A"/>
              </a:solidFill>
              <a:latin typeface="Calibri"/>
              <a:cs typeface="Calibri"/>
            </a:rPr>
            <a:t>a nombre</a:t>
          </a:r>
          <a:r>
            <a:rPr sz="700" b="1" spc="-2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00" b="1">
              <a:solidFill>
                <a:srgbClr val="2E463A"/>
              </a:solidFill>
              <a:latin typeface="Calibri"/>
              <a:cs typeface="Calibri"/>
            </a:rPr>
            <a:t>de</a:t>
          </a:r>
          <a:r>
            <a:rPr sz="700" b="1" spc="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00" b="1" spc="-5">
              <a:solidFill>
                <a:srgbClr val="2E463A"/>
              </a:solidFill>
              <a:latin typeface="Calibri"/>
              <a:cs typeface="Calibri"/>
            </a:rPr>
            <a:t>P.A.</a:t>
          </a:r>
          <a:r>
            <a:rPr sz="700" b="1" spc="-2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00" b="1">
              <a:solidFill>
                <a:srgbClr val="2E463A"/>
              </a:solidFill>
              <a:latin typeface="Calibri"/>
              <a:cs typeface="Calibri"/>
            </a:rPr>
            <a:t>FTP</a:t>
          </a:r>
          <a:r>
            <a:rPr sz="700" b="1" spc="-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00" b="1">
              <a:solidFill>
                <a:srgbClr val="2E463A"/>
              </a:solidFill>
              <a:latin typeface="Calibri"/>
              <a:cs typeface="Calibri"/>
            </a:rPr>
            <a:t>CEN</a:t>
          </a:r>
          <a:r>
            <a:rPr sz="700" b="1" spc="-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00" b="1">
              <a:solidFill>
                <a:srgbClr val="2E463A"/>
              </a:solidFill>
              <a:latin typeface="Calibri"/>
              <a:cs typeface="Calibri"/>
            </a:rPr>
            <a:t>ENERGY</a:t>
          </a:r>
          <a:r>
            <a:rPr sz="700" b="1" spc="13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00" b="1" spc="-5">
              <a:solidFill>
                <a:srgbClr val="2E463A"/>
              </a:solidFill>
              <a:latin typeface="Calibri"/>
              <a:cs typeface="Calibri"/>
            </a:rPr>
            <a:t>S.A.S.</a:t>
          </a:r>
          <a:r>
            <a:rPr sz="700" b="1" spc="14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00" b="1" spc="-5">
              <a:solidFill>
                <a:srgbClr val="2E463A"/>
              </a:solidFill>
              <a:latin typeface="Calibri"/>
              <a:cs typeface="Calibri"/>
            </a:rPr>
            <a:t>con </a:t>
          </a:r>
          <a:r>
            <a:rPr sz="700" b="1" spc="-14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00" b="1" spc="-5">
              <a:solidFill>
                <a:srgbClr val="2E463A"/>
              </a:solidFill>
              <a:latin typeface="Calibri"/>
              <a:cs typeface="Calibri"/>
            </a:rPr>
            <a:t>instrucción</a:t>
          </a:r>
          <a:r>
            <a:rPr sz="700" b="1" spc="-1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00" b="1">
              <a:solidFill>
                <a:srgbClr val="2E463A"/>
              </a:solidFill>
              <a:latin typeface="Calibri"/>
              <a:cs typeface="Calibri"/>
            </a:rPr>
            <a:t>de</a:t>
          </a:r>
          <a:r>
            <a:rPr sz="700" b="1" spc="-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00" b="1">
              <a:solidFill>
                <a:srgbClr val="2E463A"/>
              </a:solidFill>
              <a:latin typeface="Calibri"/>
              <a:cs typeface="Calibri"/>
            </a:rPr>
            <a:t>pagar</a:t>
          </a:r>
          <a:r>
            <a:rPr sz="700" b="1" spc="-2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00" b="1">
              <a:solidFill>
                <a:srgbClr val="2E463A"/>
              </a:solidFill>
              <a:latin typeface="Calibri"/>
              <a:cs typeface="Calibri"/>
            </a:rPr>
            <a:t>al </a:t>
          </a:r>
          <a:r>
            <a:rPr sz="700" b="1" spc="-5">
              <a:solidFill>
                <a:srgbClr val="2E463A"/>
              </a:solidFill>
              <a:latin typeface="Calibri"/>
              <a:cs typeface="Calibri"/>
            </a:rPr>
            <a:t>primer</a:t>
          </a:r>
          <a:r>
            <a:rPr sz="700" b="1" spc="-2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00" b="1" spc="-5">
              <a:solidFill>
                <a:srgbClr val="2E463A"/>
              </a:solidFill>
              <a:latin typeface="Calibri"/>
              <a:cs typeface="Calibri"/>
            </a:rPr>
            <a:t>beneficiario.</a:t>
          </a:r>
          <a:endParaRPr sz="700">
            <a:latin typeface="Calibri"/>
            <a:cs typeface="Calibri"/>
          </a:endParaRPr>
        </a:p>
        <a:p>
          <a:pPr marL="198755" indent="-46990">
            <a:lnSpc>
              <a:spcPct val="100000"/>
            </a:lnSpc>
            <a:spcBef>
              <a:spcPts val="10"/>
            </a:spcBef>
            <a:buChar char="-"/>
            <a:tabLst>
              <a:tab pos="199390" algn="l"/>
            </a:tabLst>
          </a:pPr>
          <a:r>
            <a:rPr sz="700" b="1">
              <a:solidFill>
                <a:srgbClr val="2E463A"/>
              </a:solidFill>
              <a:latin typeface="Calibri"/>
              <a:cs typeface="Calibri"/>
            </a:rPr>
            <a:t>Pago</a:t>
          </a:r>
          <a:r>
            <a:rPr sz="700" b="1" spc="-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00" b="1">
              <a:solidFill>
                <a:srgbClr val="2E463A"/>
              </a:solidFill>
              <a:latin typeface="Calibri"/>
              <a:cs typeface="Calibri"/>
            </a:rPr>
            <a:t>por</a:t>
          </a:r>
          <a:r>
            <a:rPr sz="700" b="1" spc="-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00" b="1" spc="-5">
              <a:solidFill>
                <a:srgbClr val="2E463A"/>
              </a:solidFill>
              <a:latin typeface="Calibri"/>
              <a:cs typeface="Calibri"/>
            </a:rPr>
            <a:t>transferencia</a:t>
          </a:r>
          <a:r>
            <a:rPr sz="700" b="1" spc="-1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00" b="1">
              <a:solidFill>
                <a:srgbClr val="2E463A"/>
              </a:solidFill>
              <a:latin typeface="Calibri"/>
              <a:cs typeface="Calibri"/>
            </a:rPr>
            <a:t>/ </a:t>
          </a:r>
          <a:r>
            <a:rPr sz="700" b="1" spc="-5">
              <a:solidFill>
                <a:srgbClr val="2E463A"/>
              </a:solidFill>
              <a:latin typeface="Calibri"/>
              <a:cs typeface="Calibri"/>
            </a:rPr>
            <a:t>Bancolombia</a:t>
          </a:r>
          <a:r>
            <a:rPr sz="700" b="1" spc="-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00" b="1">
              <a:solidFill>
                <a:srgbClr val="2E463A"/>
              </a:solidFill>
              <a:latin typeface="Calibri"/>
              <a:cs typeface="Calibri"/>
            </a:rPr>
            <a:t>Cta.</a:t>
          </a:r>
          <a:r>
            <a:rPr sz="700" b="1" spc="-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00" b="1">
              <a:solidFill>
                <a:srgbClr val="2E463A"/>
              </a:solidFill>
              <a:latin typeface="Calibri"/>
              <a:cs typeface="Calibri"/>
            </a:rPr>
            <a:t>de</a:t>
          </a:r>
          <a:r>
            <a:rPr sz="700" b="1" spc="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00" b="1" spc="-5">
              <a:solidFill>
                <a:srgbClr val="2E463A"/>
              </a:solidFill>
              <a:latin typeface="Calibri"/>
              <a:cs typeface="Calibri"/>
            </a:rPr>
            <a:t>Corriente</a:t>
          </a:r>
          <a:r>
            <a:rPr sz="700" b="1" spc="-2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00" b="1">
              <a:solidFill>
                <a:srgbClr val="2E463A"/>
              </a:solidFill>
              <a:latin typeface="Calibri"/>
              <a:cs typeface="Calibri"/>
            </a:rPr>
            <a:t>No. 245</a:t>
          </a:r>
          <a:r>
            <a:rPr sz="700" b="1" spc="-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00" b="1">
              <a:solidFill>
                <a:srgbClr val="2E463A"/>
              </a:solidFill>
              <a:latin typeface="Calibri"/>
              <a:cs typeface="Calibri"/>
            </a:rPr>
            <a:t>124422</a:t>
          </a:r>
          <a:r>
            <a:rPr sz="700" b="1" spc="-2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00" b="1">
              <a:solidFill>
                <a:srgbClr val="2E463A"/>
              </a:solidFill>
              <a:latin typeface="Calibri"/>
              <a:cs typeface="Calibri"/>
            </a:rPr>
            <a:t>51</a:t>
          </a:r>
          <a:endParaRPr sz="700">
            <a:latin typeface="Calibri"/>
            <a:cs typeface="Calibri"/>
          </a:endParaRPr>
        </a:p>
      </xdr:txBody>
    </xdr:sp>
    <xdr:clientData/>
  </xdr:twoCellAnchor>
  <xdr:twoCellAnchor>
    <xdr:from>
      <xdr:col>4</xdr:col>
      <xdr:colOff>575234</xdr:colOff>
      <xdr:row>36</xdr:row>
      <xdr:rowOff>43726</xdr:rowOff>
    </xdr:from>
    <xdr:to>
      <xdr:col>9</xdr:col>
      <xdr:colOff>43104</xdr:colOff>
      <xdr:row>40</xdr:row>
      <xdr:rowOff>164376</xdr:rowOff>
    </xdr:to>
    <xdr:sp macro="" textlink="">
      <xdr:nvSpPr>
        <xdr:cNvPr id="25" name="object 35">
          <a:extLst>
            <a:ext uri="{FF2B5EF4-FFF2-40B4-BE49-F238E27FC236}">
              <a16:creationId xmlns:a16="http://schemas.microsoft.com/office/drawing/2014/main" id="{D17446AE-8942-4318-B515-36AD3770462C}"/>
            </a:ext>
          </a:extLst>
        </xdr:cNvPr>
        <xdr:cNvSpPr txBox="1"/>
      </xdr:nvSpPr>
      <xdr:spPr>
        <a:xfrm>
          <a:off x="3623234" y="6901726"/>
          <a:ext cx="3309620" cy="882650"/>
        </a:xfrm>
        <a:prstGeom prst="rect">
          <a:avLst/>
        </a:prstGeom>
        <a:ln w="11811">
          <a:solidFill>
            <a:srgbClr val="7BAE5F"/>
          </a:solidFill>
        </a:ln>
      </xdr:spPr>
      <xdr:txBody>
        <a:bodyPr vert="horz" wrap="square" lIns="0" tIns="3175" rIns="0" bIns="0" rtlCol="0">
          <a:sp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>
            <a:lnSpc>
              <a:spcPct val="100000"/>
            </a:lnSpc>
            <a:spcBef>
              <a:spcPts val="25"/>
            </a:spcBef>
          </a:pPr>
          <a:endParaRPr sz="700">
            <a:latin typeface="Times New Roman"/>
            <a:cs typeface="Times New Roman"/>
          </a:endParaRPr>
        </a:p>
        <a:p>
          <a:pPr marL="102235" marR="113030">
            <a:lnSpc>
              <a:spcPct val="103600"/>
            </a:lnSpc>
          </a:pPr>
          <a:r>
            <a:rPr sz="500" b="1">
              <a:solidFill>
                <a:srgbClr val="2E463A"/>
              </a:solidFill>
              <a:latin typeface="Calibri"/>
              <a:cs typeface="Calibri"/>
            </a:rPr>
            <a:t>En cumplimiento</a:t>
          </a:r>
          <a:r>
            <a:rPr sz="500" b="1" spc="2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de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 la ley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1231</a:t>
          </a:r>
          <a:r>
            <a:rPr sz="500" b="1" spc="2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de</a:t>
          </a:r>
          <a:r>
            <a:rPr sz="500" b="1" spc="-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2008,</a:t>
          </a:r>
          <a:r>
            <a:rPr sz="500" b="1" spc="-2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modificada</a:t>
          </a:r>
          <a:r>
            <a:rPr sz="500" b="1" spc="-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por</a:t>
          </a:r>
          <a:r>
            <a:rPr sz="500" b="1" spc="-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la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Ley 1676</a:t>
          </a:r>
          <a:r>
            <a:rPr sz="500" b="1" spc="1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de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 2013,</a:t>
          </a:r>
          <a:r>
            <a:rPr sz="500" b="1" spc="1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la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Empresa</a:t>
          </a:r>
          <a:r>
            <a:rPr sz="500" b="1" spc="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dará por</a:t>
          </a:r>
          <a:r>
            <a:rPr sz="500" b="1" spc="-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aceptada </a:t>
          </a:r>
          <a:r>
            <a:rPr sz="500" b="1" spc="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irrevocablemente la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factura 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a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los</a:t>
          </a:r>
          <a:r>
            <a:rPr sz="500" b="1" spc="1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tres</a:t>
          </a:r>
          <a:r>
            <a:rPr sz="500" b="1" spc="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(3)</a:t>
          </a:r>
          <a:r>
            <a:rPr sz="500" b="1" spc="1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días hábiles siguientes</a:t>
          </a:r>
          <a:r>
            <a:rPr sz="500" b="1" spc="1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a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su</a:t>
          </a:r>
          <a:r>
            <a:rPr sz="500" b="1" spc="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recepción,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 de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lo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contrario,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el</a:t>
          </a:r>
          <a:r>
            <a:rPr sz="500" b="1" spc="1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rechazo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se 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informará</a:t>
          </a:r>
          <a:r>
            <a:rPr sz="500" b="1" spc="-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a</a:t>
          </a:r>
          <a:r>
            <a:rPr sz="500" b="1" spc="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través</a:t>
          </a:r>
          <a:r>
            <a:rPr sz="500" b="1" spc="1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del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mecanismo</a:t>
          </a:r>
          <a:r>
            <a:rPr sz="500" b="1" spc="3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electrónico</a:t>
          </a:r>
          <a:r>
            <a:rPr sz="500" b="1" spc="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apropiado.</a:t>
          </a:r>
          <a:r>
            <a:rPr sz="500" b="1" spc="-2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El</a:t>
          </a:r>
          <a:r>
            <a:rPr sz="500" b="1" spc="2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pago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de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la</a:t>
          </a:r>
          <a:r>
            <a:rPr sz="500" b="1" spc="2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factura</a:t>
          </a:r>
          <a:r>
            <a:rPr sz="500" b="1" spc="-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se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realizará</a:t>
          </a:r>
          <a:r>
            <a:rPr sz="500" b="1" spc="2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al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 tenedor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legítimo</a:t>
          </a:r>
          <a:r>
            <a:rPr sz="500" b="1" spc="2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de </a:t>
          </a:r>
          <a:r>
            <a:rPr sz="500" b="1" spc="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esta, en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la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fecha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 de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 vencimiento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 por</a:t>
          </a:r>
          <a:r>
            <a:rPr sz="500" b="1" spc="-1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el</a:t>
          </a:r>
          <a:r>
            <a:rPr sz="500" b="1" spc="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valor 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neto que</a:t>
          </a:r>
          <a:r>
            <a:rPr sz="500" b="1" spc="-1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resulte</a:t>
          </a:r>
          <a:r>
            <a:rPr sz="500" b="1" spc="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de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 los</a:t>
          </a:r>
          <a:r>
            <a:rPr sz="500" b="1" spc="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descuentos</a:t>
          </a:r>
          <a:r>
            <a:rPr sz="500" b="1" spc="-1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por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 ley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 y</a:t>
          </a:r>
          <a:r>
            <a:rPr sz="500" b="1" spc="1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contractuales.</a:t>
          </a:r>
          <a:endParaRPr sz="500">
            <a:latin typeface="Calibri"/>
            <a:cs typeface="Calibri"/>
          </a:endParaRPr>
        </a:p>
        <a:p>
          <a:pPr marL="102235" marR="142240">
            <a:lnSpc>
              <a:spcPct val="104000"/>
            </a:lnSpc>
            <a:spcBef>
              <a:spcPts val="350"/>
            </a:spcBef>
          </a:pPr>
          <a:r>
            <a:rPr sz="500" b="1">
              <a:solidFill>
                <a:srgbClr val="2E463A"/>
              </a:solidFill>
              <a:latin typeface="Calibri"/>
              <a:cs typeface="Calibri"/>
            </a:rPr>
            <a:t>Esta</a:t>
          </a:r>
          <a:r>
            <a:rPr sz="500" b="1" spc="1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factura</a:t>
          </a:r>
          <a:r>
            <a:rPr sz="500" b="1" spc="-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se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asemeja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 a</a:t>
          </a:r>
          <a:r>
            <a:rPr sz="500" b="1" spc="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una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letra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 de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cambio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según</a:t>
          </a:r>
          <a:r>
            <a:rPr sz="500" b="1" spc="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artículos 621,</a:t>
          </a:r>
          <a:r>
            <a:rPr sz="500" b="1" spc="2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773</a:t>
          </a:r>
          <a:r>
            <a:rPr sz="500" b="1" spc="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y</a:t>
          </a:r>
          <a:r>
            <a:rPr sz="500" b="1" spc="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774</a:t>
          </a:r>
          <a:r>
            <a:rPr sz="500" b="1" spc="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del</a:t>
          </a:r>
          <a:r>
            <a:rPr sz="500" b="1" spc="1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Código</a:t>
          </a:r>
          <a:r>
            <a:rPr sz="500" b="1" spc="-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de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 Comercio.</a:t>
          </a:r>
          <a:r>
            <a:rPr sz="500" b="1" spc="1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Su pago </a:t>
          </a:r>
          <a:r>
            <a:rPr sz="500" b="1" spc="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posterior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 a</a:t>
          </a:r>
          <a:r>
            <a:rPr sz="500" b="1" spc="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la</a:t>
          </a:r>
          <a:r>
            <a:rPr sz="500" b="1" spc="2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fecha límite</a:t>
          </a:r>
          <a:r>
            <a:rPr sz="500" b="1" spc="2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estipulada generará</a:t>
          </a:r>
          <a:r>
            <a:rPr sz="500" b="1" spc="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interés</a:t>
          </a:r>
          <a:r>
            <a:rPr sz="500" b="1" spc="2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según</a:t>
          </a:r>
          <a:r>
            <a:rPr sz="500" b="1" spc="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del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artículo</a:t>
          </a:r>
          <a:r>
            <a:rPr sz="500" b="1" spc="1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884</a:t>
          </a:r>
          <a:r>
            <a:rPr sz="500" b="1" spc="1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del</a:t>
          </a:r>
          <a:r>
            <a:rPr sz="500" b="1" spc="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Código</a:t>
          </a:r>
          <a:r>
            <a:rPr sz="500" b="1" spc="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de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Comercio.</a:t>
          </a:r>
          <a:r>
            <a:rPr sz="500" b="1" spc="2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Este</a:t>
          </a:r>
          <a:r>
            <a:rPr sz="500" b="1" spc="1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título 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valor</a:t>
          </a:r>
          <a:r>
            <a:rPr sz="500" b="1" spc="-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es</a:t>
          </a:r>
          <a:r>
            <a:rPr sz="500" b="1" spc="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exigible ejecutivamente 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de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 acuerdo</a:t>
          </a:r>
          <a:r>
            <a:rPr sz="500" b="1" spc="-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con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el artículo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488</a:t>
          </a:r>
          <a:r>
            <a:rPr sz="500" b="1" spc="2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del Código</a:t>
          </a:r>
          <a:r>
            <a:rPr sz="500" b="1" spc="-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de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 Procedimiento</a:t>
          </a:r>
          <a:r>
            <a:rPr sz="500" b="1" spc="2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Civil.</a:t>
          </a:r>
          <a:endParaRPr sz="500">
            <a:latin typeface="Calibri"/>
            <a:cs typeface="Calibri"/>
          </a:endParaRPr>
        </a:p>
      </xdr:txBody>
    </xdr:sp>
    <xdr:clientData/>
  </xdr:twoCellAnchor>
  <xdr:twoCellAnchor>
    <xdr:from>
      <xdr:col>4</xdr:col>
      <xdr:colOff>578796</xdr:colOff>
      <xdr:row>0</xdr:row>
      <xdr:rowOff>44450</xdr:rowOff>
    </xdr:from>
    <xdr:to>
      <xdr:col>9</xdr:col>
      <xdr:colOff>35484</xdr:colOff>
      <xdr:row>31</xdr:row>
      <xdr:rowOff>102235</xdr:rowOff>
    </xdr:to>
    <xdr:sp macro="" textlink="">
      <xdr:nvSpPr>
        <xdr:cNvPr id="27" name="object 37">
          <a:extLst>
            <a:ext uri="{FF2B5EF4-FFF2-40B4-BE49-F238E27FC236}">
              <a16:creationId xmlns:a16="http://schemas.microsoft.com/office/drawing/2014/main" id="{F56BC842-8160-F4C9-D89A-347CB88CB07E}"/>
            </a:ext>
          </a:extLst>
        </xdr:cNvPr>
        <xdr:cNvSpPr/>
      </xdr:nvSpPr>
      <xdr:spPr>
        <a:xfrm>
          <a:off x="3626796" y="44450"/>
          <a:ext cx="3298438" cy="5963285"/>
        </a:xfrm>
        <a:custGeom>
          <a:avLst/>
          <a:gdLst/>
          <a:ahLst/>
          <a:cxnLst/>
          <a:rect l="l" t="t" r="r" b="b"/>
          <a:pathLst>
            <a:path w="3276600" h="5963284">
              <a:moveTo>
                <a:pt x="0" y="5962776"/>
              </a:moveTo>
              <a:lnTo>
                <a:pt x="3276473" y="5962776"/>
              </a:lnTo>
              <a:lnTo>
                <a:pt x="3276473" y="0"/>
              </a:lnTo>
              <a:lnTo>
                <a:pt x="0" y="0"/>
              </a:lnTo>
              <a:lnTo>
                <a:pt x="0" y="5962776"/>
              </a:lnTo>
              <a:close/>
            </a:path>
          </a:pathLst>
        </a:custGeom>
        <a:ln w="11811">
          <a:solidFill>
            <a:srgbClr val="7BAE5F"/>
          </a:solidFill>
        </a:ln>
      </xdr:spPr>
      <xdr:txBody>
        <a:bodyPr wrap="square" lIns="0" tIns="0" rIns="0" bIns="0" rtlCol="0"/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/>
        </a:p>
      </xdr:txBody>
    </xdr:sp>
    <xdr:clientData/>
  </xdr:twoCellAnchor>
  <xdr:twoCellAnchor>
    <xdr:from>
      <xdr:col>2</xdr:col>
      <xdr:colOff>620531</xdr:colOff>
      <xdr:row>39</xdr:row>
      <xdr:rowOff>67555</xdr:rowOff>
    </xdr:from>
    <xdr:to>
      <xdr:col>4</xdr:col>
      <xdr:colOff>240424</xdr:colOff>
      <xdr:row>41</xdr:row>
      <xdr:rowOff>124501</xdr:rowOff>
    </xdr:to>
    <xdr:pic>
      <xdr:nvPicPr>
        <xdr:cNvPr id="28" name="object 38">
          <a:extLst>
            <a:ext uri="{FF2B5EF4-FFF2-40B4-BE49-F238E27FC236}">
              <a16:creationId xmlns:a16="http://schemas.microsoft.com/office/drawing/2014/main" id="{70EA9970-3E08-5AD1-7845-A8315CE170F8}"/>
            </a:ext>
          </a:extLst>
        </xdr:cNvPr>
        <xdr:cNvPicPr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144531" y="7331955"/>
          <a:ext cx="1143893" cy="429479"/>
        </a:xfrm>
        <a:prstGeom prst="rect">
          <a:avLst/>
        </a:prstGeom>
      </xdr:spPr>
    </xdr:pic>
    <xdr:clientData/>
  </xdr:twoCellAnchor>
  <xdr:twoCellAnchor>
    <xdr:from>
      <xdr:col>5</xdr:col>
      <xdr:colOff>153415</xdr:colOff>
      <xdr:row>7</xdr:row>
      <xdr:rowOff>23521</xdr:rowOff>
    </xdr:from>
    <xdr:to>
      <xdr:col>6</xdr:col>
      <xdr:colOff>650703</xdr:colOff>
      <xdr:row>9</xdr:row>
      <xdr:rowOff>82550</xdr:rowOff>
    </xdr:to>
    <xdr:sp macro="" textlink="">
      <xdr:nvSpPr>
        <xdr:cNvPr id="29" name="object 39">
          <a:extLst>
            <a:ext uri="{FF2B5EF4-FFF2-40B4-BE49-F238E27FC236}">
              <a16:creationId xmlns:a16="http://schemas.microsoft.com/office/drawing/2014/main" id="{93B626C7-F260-4087-27DF-2D2BAD6E6E5F}"/>
            </a:ext>
          </a:extLst>
        </xdr:cNvPr>
        <xdr:cNvSpPr/>
      </xdr:nvSpPr>
      <xdr:spPr>
        <a:xfrm>
          <a:off x="3963415" y="1357021"/>
          <a:ext cx="1259288" cy="440029"/>
        </a:xfrm>
        <a:custGeom>
          <a:avLst/>
          <a:gdLst/>
          <a:ahLst/>
          <a:cxnLst/>
          <a:rect l="l" t="t" r="r" b="b"/>
          <a:pathLst>
            <a:path w="1250950" h="484505">
              <a:moveTo>
                <a:pt x="0" y="484479"/>
              </a:moveTo>
              <a:lnTo>
                <a:pt x="1250416" y="484479"/>
              </a:lnTo>
              <a:lnTo>
                <a:pt x="1250416" y="0"/>
              </a:lnTo>
              <a:lnTo>
                <a:pt x="0" y="0"/>
              </a:lnTo>
              <a:lnTo>
                <a:pt x="0" y="484479"/>
              </a:lnTo>
              <a:close/>
            </a:path>
          </a:pathLst>
        </a:custGeom>
        <a:ln w="11811">
          <a:solidFill>
            <a:srgbClr val="7BAE5F"/>
          </a:solidFill>
        </a:ln>
      </xdr:spPr>
      <xdr:txBody>
        <a:bodyPr wrap="square" lIns="0" tIns="0" rIns="0" bIns="0" rtlCol="0"/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/>
        </a:p>
      </xdr:txBody>
    </xdr:sp>
    <xdr:clientData/>
  </xdr:twoCellAnchor>
  <xdr:twoCellAnchor>
    <xdr:from>
      <xdr:col>5</xdr:col>
      <xdr:colOff>148557</xdr:colOff>
      <xdr:row>6</xdr:row>
      <xdr:rowOff>168520</xdr:rowOff>
    </xdr:from>
    <xdr:to>
      <xdr:col>6</xdr:col>
      <xdr:colOff>656711</xdr:colOff>
      <xdr:row>7</xdr:row>
      <xdr:rowOff>168520</xdr:rowOff>
    </xdr:to>
    <xdr:sp macro="" textlink="">
      <xdr:nvSpPr>
        <xdr:cNvPr id="30" name="object 40">
          <a:extLst>
            <a:ext uri="{FF2B5EF4-FFF2-40B4-BE49-F238E27FC236}">
              <a16:creationId xmlns:a16="http://schemas.microsoft.com/office/drawing/2014/main" id="{CA990339-7E79-24EB-72F6-0D4545C3A4D2}"/>
            </a:ext>
          </a:extLst>
        </xdr:cNvPr>
        <xdr:cNvSpPr/>
      </xdr:nvSpPr>
      <xdr:spPr>
        <a:xfrm>
          <a:off x="3958557" y="1311520"/>
          <a:ext cx="1270154" cy="190500"/>
        </a:xfrm>
        <a:custGeom>
          <a:avLst/>
          <a:gdLst/>
          <a:ahLst/>
          <a:cxnLst/>
          <a:rect l="l" t="t" r="r" b="b"/>
          <a:pathLst>
            <a:path w="1261745" h="194310">
              <a:moveTo>
                <a:pt x="1261249" y="0"/>
              </a:moveTo>
              <a:lnTo>
                <a:pt x="0" y="0"/>
              </a:lnTo>
              <a:lnTo>
                <a:pt x="0" y="194284"/>
              </a:lnTo>
              <a:lnTo>
                <a:pt x="1261249" y="194284"/>
              </a:lnTo>
              <a:lnTo>
                <a:pt x="1261249" y="0"/>
              </a:lnTo>
              <a:close/>
            </a:path>
          </a:pathLst>
        </a:custGeom>
        <a:solidFill>
          <a:srgbClr val="7BAE5F"/>
        </a:solidFill>
      </xdr:spPr>
      <xdr:txBody>
        <a:bodyPr wrap="square" lIns="0" tIns="0" rIns="0" bIns="0" rtlCol="0"/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/>
        </a:p>
      </xdr:txBody>
    </xdr:sp>
    <xdr:clientData/>
  </xdr:twoCellAnchor>
  <xdr:twoCellAnchor>
    <xdr:from>
      <xdr:col>0</xdr:col>
      <xdr:colOff>80264</xdr:colOff>
      <xdr:row>9</xdr:row>
      <xdr:rowOff>94613</xdr:rowOff>
    </xdr:from>
    <xdr:to>
      <xdr:col>1</xdr:col>
      <xdr:colOff>666750</xdr:colOff>
      <xdr:row>11</xdr:row>
      <xdr:rowOff>124944</xdr:rowOff>
    </xdr:to>
    <xdr:sp macro="" textlink="">
      <xdr:nvSpPr>
        <xdr:cNvPr id="31" name="object 41">
          <a:extLst>
            <a:ext uri="{FF2B5EF4-FFF2-40B4-BE49-F238E27FC236}">
              <a16:creationId xmlns:a16="http://schemas.microsoft.com/office/drawing/2014/main" id="{0A27EC67-3FB8-4CEB-BB76-21ED868FAAB6}"/>
            </a:ext>
          </a:extLst>
        </xdr:cNvPr>
        <xdr:cNvSpPr txBox="1"/>
      </xdr:nvSpPr>
      <xdr:spPr>
        <a:xfrm>
          <a:off x="80264" y="1809113"/>
          <a:ext cx="1348486" cy="411331"/>
        </a:xfrm>
        <a:prstGeom prst="rect">
          <a:avLst/>
        </a:prstGeom>
      </xdr:spPr>
      <xdr:txBody>
        <a:bodyPr vert="horz" wrap="square" lIns="0" tIns="31750" rIns="0" bIns="0" rtlCol="0">
          <a:sp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12700">
            <a:lnSpc>
              <a:spcPct val="100000"/>
            </a:lnSpc>
            <a:spcBef>
              <a:spcPts val="250"/>
            </a:spcBef>
          </a:pPr>
          <a:r>
            <a:rPr sz="1425" b="1" spc="15" baseline="2923">
              <a:solidFill>
                <a:srgbClr val="2E463A"/>
              </a:solidFill>
              <a:latin typeface="Trebuchet MS"/>
              <a:cs typeface="Trebuchet MS"/>
            </a:rPr>
            <a:t>Días</a:t>
          </a:r>
          <a:r>
            <a:rPr sz="1425" b="1" spc="-22" baseline="2923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1425" b="1" spc="22" baseline="2923">
              <a:solidFill>
                <a:srgbClr val="2E463A"/>
              </a:solidFill>
              <a:latin typeface="Trebuchet MS"/>
              <a:cs typeface="Trebuchet MS"/>
            </a:rPr>
            <a:t>de</a:t>
          </a:r>
          <a:r>
            <a:rPr sz="1425" b="1" spc="-22" baseline="2923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1425" b="1" spc="22" baseline="2923">
              <a:solidFill>
                <a:srgbClr val="2E463A"/>
              </a:solidFill>
              <a:latin typeface="Trebuchet MS"/>
              <a:cs typeface="Trebuchet MS"/>
            </a:rPr>
            <a:t>Consumo:</a:t>
          </a:r>
          <a:endParaRPr sz="850">
            <a:latin typeface="Trebuchet MS"/>
            <a:cs typeface="Trebuchet MS"/>
          </a:endParaRPr>
        </a:p>
        <a:p>
          <a:pPr marL="14604">
            <a:lnSpc>
              <a:spcPct val="100000"/>
            </a:lnSpc>
            <a:spcBef>
              <a:spcPts val="155"/>
            </a:spcBef>
          </a:pPr>
          <a:r>
            <a:rPr sz="950" b="1" spc="10">
              <a:solidFill>
                <a:srgbClr val="2E463A"/>
              </a:solidFill>
              <a:latin typeface="Trebuchet MS"/>
              <a:cs typeface="Trebuchet MS"/>
            </a:rPr>
            <a:t>Planta</a:t>
          </a:r>
          <a:r>
            <a:rPr sz="950" b="1" kern="1200" spc="10">
              <a:solidFill>
                <a:srgbClr val="2E463A"/>
              </a:solidFill>
              <a:latin typeface="Trebuchet MS"/>
              <a:ea typeface="+mn-ea"/>
              <a:cs typeface="Trebuchet MS"/>
            </a:rPr>
            <a:t>: </a:t>
          </a:r>
          <a:r>
            <a:rPr lang="es-MX" sz="950" b="1" kern="1200" spc="10">
              <a:solidFill>
                <a:srgbClr val="2E463A"/>
              </a:solidFill>
              <a:latin typeface="Trebuchet MS"/>
              <a:ea typeface="+mn-ea"/>
              <a:cs typeface="Trebuchet MS"/>
            </a:rPr>
            <a:t>PUNTO CLAVE</a:t>
          </a:r>
          <a:endParaRPr sz="950" b="1" kern="1200" spc="10">
            <a:solidFill>
              <a:srgbClr val="2E463A"/>
            </a:solidFill>
            <a:latin typeface="Trebuchet MS"/>
            <a:ea typeface="+mn-ea"/>
            <a:cs typeface="Trebuchet MS"/>
          </a:endParaRPr>
        </a:p>
      </xdr:txBody>
    </xdr:sp>
    <xdr:clientData/>
  </xdr:twoCellAnchor>
  <xdr:twoCellAnchor>
    <xdr:from>
      <xdr:col>4</xdr:col>
      <xdr:colOff>565200</xdr:colOff>
      <xdr:row>41</xdr:row>
      <xdr:rowOff>24498</xdr:rowOff>
    </xdr:from>
    <xdr:to>
      <xdr:col>9</xdr:col>
      <xdr:colOff>33070</xdr:colOff>
      <xdr:row>47</xdr:row>
      <xdr:rowOff>88900</xdr:rowOff>
    </xdr:to>
    <xdr:sp macro="" textlink="">
      <xdr:nvSpPr>
        <xdr:cNvPr id="32" name="object 42">
          <a:extLst>
            <a:ext uri="{FF2B5EF4-FFF2-40B4-BE49-F238E27FC236}">
              <a16:creationId xmlns:a16="http://schemas.microsoft.com/office/drawing/2014/main" id="{542E2DF8-10AF-4D6A-BB2D-AB05B42AA07A}"/>
            </a:ext>
          </a:extLst>
        </xdr:cNvPr>
        <xdr:cNvSpPr txBox="1"/>
      </xdr:nvSpPr>
      <xdr:spPr>
        <a:xfrm>
          <a:off x="3613200" y="7834998"/>
          <a:ext cx="3309620" cy="1207402"/>
        </a:xfrm>
        <a:prstGeom prst="rect">
          <a:avLst/>
        </a:prstGeom>
        <a:ln w="11811">
          <a:solidFill>
            <a:srgbClr val="7BAE5F"/>
          </a:solidFill>
        </a:ln>
      </xdr:spPr>
      <xdr:txBody>
        <a:bodyPr vert="horz" wrap="square" lIns="0" tIns="5715" rIns="0" bIns="0" rtlCol="0">
          <a:no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>
            <a:lnSpc>
              <a:spcPct val="100000"/>
            </a:lnSpc>
            <a:spcBef>
              <a:spcPts val="45"/>
            </a:spcBef>
          </a:pPr>
          <a:endParaRPr sz="450">
            <a:latin typeface="Times New Roman"/>
            <a:cs typeface="Times New Roman"/>
          </a:endParaRPr>
        </a:p>
        <a:p>
          <a:pPr marL="105410">
            <a:lnSpc>
              <a:spcPct val="100000"/>
            </a:lnSpc>
          </a:pPr>
          <a:r>
            <a:rPr sz="550" b="1" spc="-5">
              <a:solidFill>
                <a:srgbClr val="2E463A"/>
              </a:solidFill>
              <a:latin typeface="Calibri"/>
              <a:cs typeface="Calibri"/>
            </a:rPr>
            <a:t>CEN</a:t>
          </a:r>
          <a:r>
            <a:rPr sz="550" b="1" spc="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50" b="1">
              <a:solidFill>
                <a:srgbClr val="2E463A"/>
              </a:solidFill>
              <a:latin typeface="Calibri"/>
              <a:cs typeface="Calibri"/>
            </a:rPr>
            <a:t>ENERGY</a:t>
          </a:r>
          <a:r>
            <a:rPr sz="550" b="1" spc="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50" b="1">
              <a:solidFill>
                <a:srgbClr val="2E463A"/>
              </a:solidFill>
              <a:latin typeface="Calibri"/>
              <a:cs typeface="Calibri"/>
            </a:rPr>
            <a:t>S.A.S.</a:t>
          </a:r>
          <a:r>
            <a:rPr sz="550" b="1" spc="1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50" b="1">
              <a:solidFill>
                <a:srgbClr val="2E463A"/>
              </a:solidFill>
              <a:latin typeface="Calibri"/>
              <a:cs typeface="Calibri"/>
            </a:rPr>
            <a:t>E.S.P.  NIT. </a:t>
          </a:r>
          <a:r>
            <a:rPr sz="550" b="1" spc="-5">
              <a:solidFill>
                <a:srgbClr val="2E463A"/>
              </a:solidFill>
              <a:latin typeface="Calibri"/>
              <a:cs typeface="Calibri"/>
            </a:rPr>
            <a:t>901094947-0</a:t>
          </a:r>
          <a:endParaRPr sz="550">
            <a:latin typeface="Calibri"/>
            <a:cs typeface="Calibri"/>
          </a:endParaRPr>
        </a:p>
        <a:p>
          <a:pPr marL="105410">
            <a:lnSpc>
              <a:spcPct val="100000"/>
            </a:lnSpc>
            <a:spcBef>
              <a:spcPts val="25"/>
            </a:spcBef>
          </a:pPr>
          <a:r>
            <a:rPr sz="550" b="1">
              <a:solidFill>
                <a:srgbClr val="2E463A"/>
              </a:solidFill>
              <a:latin typeface="Calibri"/>
              <a:cs typeface="Calibri"/>
            </a:rPr>
            <a:t>Carrera</a:t>
          </a:r>
          <a:r>
            <a:rPr sz="550" b="1" spc="-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50" b="1">
              <a:solidFill>
                <a:srgbClr val="2E463A"/>
              </a:solidFill>
              <a:latin typeface="Calibri"/>
              <a:cs typeface="Calibri"/>
            </a:rPr>
            <a:t>52 No.</a:t>
          </a:r>
          <a:r>
            <a:rPr sz="550" b="1" spc="-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50" b="1">
              <a:solidFill>
                <a:srgbClr val="2E463A"/>
              </a:solidFill>
              <a:latin typeface="Calibri"/>
              <a:cs typeface="Calibri"/>
            </a:rPr>
            <a:t>10</a:t>
          </a:r>
          <a:r>
            <a:rPr sz="550" b="1" spc="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50" b="1">
              <a:solidFill>
                <a:srgbClr val="2E463A"/>
              </a:solidFill>
              <a:latin typeface="Calibri"/>
              <a:cs typeface="Calibri"/>
            </a:rPr>
            <a:t>-</a:t>
          </a:r>
          <a:r>
            <a:rPr sz="550" b="1" spc="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50" b="1">
              <a:solidFill>
                <a:srgbClr val="2E463A"/>
              </a:solidFill>
              <a:latin typeface="Calibri"/>
              <a:cs typeface="Calibri"/>
            </a:rPr>
            <a:t>131 Medellín,</a:t>
          </a:r>
          <a:r>
            <a:rPr sz="550" b="1" spc="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50" b="1">
              <a:solidFill>
                <a:srgbClr val="2E463A"/>
              </a:solidFill>
              <a:latin typeface="Calibri"/>
              <a:cs typeface="Calibri"/>
            </a:rPr>
            <a:t>Antioquia,</a:t>
          </a:r>
          <a:r>
            <a:rPr sz="550" b="1" spc="-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50" b="1">
              <a:solidFill>
                <a:srgbClr val="2E463A"/>
              </a:solidFill>
              <a:latin typeface="Calibri"/>
              <a:cs typeface="Calibri"/>
            </a:rPr>
            <a:t>Colombia.</a:t>
          </a:r>
          <a:endParaRPr sz="550">
            <a:latin typeface="Calibri"/>
            <a:cs typeface="Calibri"/>
          </a:endParaRPr>
        </a:p>
        <a:p>
          <a:pPr marL="105410">
            <a:lnSpc>
              <a:spcPct val="100000"/>
            </a:lnSpc>
            <a:spcBef>
              <a:spcPts val="15"/>
            </a:spcBef>
          </a:pPr>
          <a:r>
            <a:rPr sz="550" b="1">
              <a:solidFill>
                <a:srgbClr val="2E463A"/>
              </a:solidFill>
              <a:latin typeface="Calibri"/>
              <a:cs typeface="Calibri"/>
            </a:rPr>
            <a:t>Contacto:</a:t>
          </a:r>
          <a:r>
            <a:rPr sz="550" b="1" spc="-2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50" b="1">
              <a:solidFill>
                <a:srgbClr val="2E463A"/>
              </a:solidFill>
              <a:latin typeface="Calibri"/>
              <a:cs typeface="Calibri"/>
            </a:rPr>
            <a:t>+57</a:t>
          </a:r>
          <a:r>
            <a:rPr sz="550" b="1" spc="-2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50" b="1">
              <a:solidFill>
                <a:srgbClr val="2E463A"/>
              </a:solidFill>
              <a:latin typeface="Calibri"/>
              <a:cs typeface="Calibri"/>
            </a:rPr>
            <a:t>(604)</a:t>
          </a:r>
          <a:r>
            <a:rPr sz="550" b="1" spc="-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50" b="1">
              <a:solidFill>
                <a:srgbClr val="2E463A"/>
              </a:solidFill>
              <a:latin typeface="Calibri"/>
              <a:cs typeface="Calibri"/>
            </a:rPr>
            <a:t>4446500</a:t>
          </a:r>
          <a:endParaRPr sz="550">
            <a:latin typeface="Calibri"/>
            <a:cs typeface="Calibri"/>
          </a:endParaRPr>
        </a:p>
        <a:p>
          <a:pPr>
            <a:lnSpc>
              <a:spcPct val="100000"/>
            </a:lnSpc>
            <a:spcBef>
              <a:spcPts val="30"/>
            </a:spcBef>
          </a:pPr>
          <a:endParaRPr sz="550">
            <a:latin typeface="Calibri"/>
            <a:cs typeface="Calibri"/>
          </a:endParaRPr>
        </a:p>
        <a:p>
          <a:pPr marL="105410">
            <a:lnSpc>
              <a:spcPct val="100000"/>
            </a:lnSpc>
            <a:spcBef>
              <a:spcPts val="5"/>
            </a:spcBef>
          </a:pPr>
          <a:r>
            <a:rPr sz="550" b="1">
              <a:solidFill>
                <a:srgbClr val="2E463A"/>
              </a:solidFill>
              <a:latin typeface="Calibri"/>
              <a:cs typeface="Calibri"/>
            </a:rPr>
            <a:t>Actividad</a:t>
          </a:r>
          <a:r>
            <a:rPr sz="550" b="1" spc="-5">
              <a:solidFill>
                <a:srgbClr val="2E463A"/>
              </a:solidFill>
              <a:latin typeface="Calibri"/>
              <a:cs typeface="Calibri"/>
            </a:rPr>
            <a:t> Económica</a:t>
          </a:r>
          <a:r>
            <a:rPr sz="550" b="1">
              <a:solidFill>
                <a:srgbClr val="2E463A"/>
              </a:solidFill>
              <a:latin typeface="Calibri"/>
              <a:cs typeface="Calibri"/>
            </a:rPr>
            <a:t> Principal</a:t>
          </a:r>
          <a:r>
            <a:rPr sz="550" b="1" spc="-5">
              <a:solidFill>
                <a:srgbClr val="2E463A"/>
              </a:solidFill>
              <a:latin typeface="Calibri"/>
              <a:cs typeface="Calibri"/>
            </a:rPr>
            <a:t> 3512</a:t>
          </a:r>
          <a:r>
            <a:rPr sz="550" b="1" spc="1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50" b="1">
              <a:solidFill>
                <a:srgbClr val="2E463A"/>
              </a:solidFill>
              <a:latin typeface="Calibri"/>
              <a:cs typeface="Calibri"/>
            </a:rPr>
            <a:t>* Régimen</a:t>
          </a:r>
          <a:r>
            <a:rPr sz="550" b="1" spc="-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50" b="1">
              <a:solidFill>
                <a:srgbClr val="2E463A"/>
              </a:solidFill>
              <a:latin typeface="Calibri"/>
              <a:cs typeface="Calibri"/>
            </a:rPr>
            <a:t>Común</a:t>
          </a:r>
          <a:endParaRPr sz="550">
            <a:latin typeface="Calibri"/>
            <a:cs typeface="Calibri"/>
          </a:endParaRPr>
        </a:p>
        <a:p>
          <a:pPr>
            <a:lnSpc>
              <a:spcPct val="100000"/>
            </a:lnSpc>
            <a:spcBef>
              <a:spcPts val="25"/>
            </a:spcBef>
          </a:pPr>
          <a:endParaRPr sz="550">
            <a:latin typeface="Calibri"/>
            <a:cs typeface="Calibri"/>
          </a:endParaRPr>
        </a:p>
        <a:p>
          <a:pPr marL="105410">
            <a:lnSpc>
              <a:spcPct val="100000"/>
            </a:lnSpc>
            <a:spcBef>
              <a:spcPts val="5"/>
            </a:spcBef>
          </a:pPr>
          <a:r>
            <a:rPr lang="es-CO" sz="550" b="1">
              <a:solidFill>
                <a:srgbClr val="2E463A"/>
              </a:solidFill>
              <a:latin typeface="+mn-lt"/>
              <a:cs typeface="Calibri"/>
            </a:rPr>
            <a:t>Autorización Numeración de Facturación</a:t>
          </a:r>
        </a:p>
        <a:p>
          <a:pPr marL="105410">
            <a:lnSpc>
              <a:spcPct val="100000"/>
            </a:lnSpc>
            <a:spcBef>
              <a:spcPts val="5"/>
            </a:spcBef>
          </a:pPr>
          <a:r>
            <a:rPr lang="es-CO" sz="550" b="1">
              <a:solidFill>
                <a:srgbClr val="2E463A"/>
              </a:solidFill>
              <a:latin typeface="+mn-lt"/>
              <a:cs typeface="Calibri"/>
            </a:rPr>
            <a:t>No. 18764039136852 Rango desde FE1013 hasta FE2000</a:t>
          </a:r>
        </a:p>
        <a:p>
          <a:pPr marL="105410">
            <a:lnSpc>
              <a:spcPct val="100000"/>
            </a:lnSpc>
            <a:spcBef>
              <a:spcPts val="5"/>
            </a:spcBef>
          </a:pPr>
          <a:r>
            <a:rPr lang="es-CO" sz="550" b="1">
              <a:solidFill>
                <a:srgbClr val="2E463A"/>
              </a:solidFill>
              <a:latin typeface="+mn-lt"/>
              <a:cs typeface="Calibri"/>
            </a:rPr>
            <a:t>Vigencia desde el 04/11/2021 hasta el 04/11/2023</a:t>
          </a:r>
        </a:p>
        <a:p>
          <a:pPr marL="103505">
            <a:lnSpc>
              <a:spcPct val="100000"/>
            </a:lnSpc>
            <a:spcBef>
              <a:spcPts val="275"/>
            </a:spcBef>
          </a:pPr>
          <a:r>
            <a:rPr sz="825" b="1" baseline="-10101">
              <a:solidFill>
                <a:srgbClr val="2E463A"/>
              </a:solidFill>
              <a:latin typeface="Calibri"/>
              <a:cs typeface="Calibri"/>
            </a:rPr>
            <a:t>CUFE:   </a:t>
          </a:r>
          <a:r>
            <a:rPr sz="825" b="1" spc="30" baseline="-10101">
              <a:solidFill>
                <a:srgbClr val="2E463A"/>
              </a:solidFill>
              <a:latin typeface="Calibri"/>
              <a:cs typeface="Calibri"/>
            </a:rPr>
            <a:t> </a:t>
          </a:r>
          <a:endParaRPr sz="400">
            <a:latin typeface="Trebuchet MS"/>
            <a:cs typeface="Trebuchet MS"/>
          </a:endParaRPr>
        </a:p>
        <a:p>
          <a:pPr marL="103505">
            <a:lnSpc>
              <a:spcPct val="100000"/>
            </a:lnSpc>
            <a:spcBef>
              <a:spcPts val="125"/>
            </a:spcBef>
            <a:tabLst>
              <a:tab pos="965200" algn="l"/>
            </a:tabLst>
          </a:pPr>
          <a:r>
            <a:rPr sz="550" b="1">
              <a:solidFill>
                <a:srgbClr val="2E463A"/>
              </a:solidFill>
              <a:latin typeface="Calibri"/>
              <a:cs typeface="Calibri"/>
            </a:rPr>
            <a:t>Fecha</a:t>
          </a:r>
          <a:r>
            <a:rPr sz="550" b="1" spc="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50" b="1">
              <a:solidFill>
                <a:srgbClr val="2E463A"/>
              </a:solidFill>
              <a:latin typeface="Calibri"/>
              <a:cs typeface="Calibri"/>
            </a:rPr>
            <a:t>Aceptación</a:t>
          </a:r>
          <a:r>
            <a:rPr sz="550" b="1" spc="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50" b="1">
              <a:solidFill>
                <a:srgbClr val="2E463A"/>
              </a:solidFill>
              <a:latin typeface="Calibri"/>
              <a:cs typeface="Calibri"/>
            </a:rPr>
            <a:t>DIAN:	</a:t>
          </a:r>
          <a:endParaRPr sz="825" baseline="5050">
            <a:solidFill>
              <a:srgbClr val="FF0000"/>
            </a:solidFill>
            <a:latin typeface="Trebuchet MS"/>
            <a:cs typeface="Trebuchet MS"/>
          </a:endParaRPr>
        </a:p>
      </xdr:txBody>
    </xdr:sp>
    <xdr:clientData/>
  </xdr:twoCellAnchor>
  <xdr:twoCellAnchor>
    <xdr:from>
      <xdr:col>5</xdr:col>
      <xdr:colOff>435915</xdr:colOff>
      <xdr:row>7</xdr:row>
      <xdr:rowOff>571</xdr:rowOff>
    </xdr:from>
    <xdr:to>
      <xdr:col>6</xdr:col>
      <xdr:colOff>336220</xdr:colOff>
      <xdr:row>7</xdr:row>
      <xdr:rowOff>147256</xdr:rowOff>
    </xdr:to>
    <xdr:sp macro="" textlink="">
      <xdr:nvSpPr>
        <xdr:cNvPr id="33" name="object 43">
          <a:extLst>
            <a:ext uri="{FF2B5EF4-FFF2-40B4-BE49-F238E27FC236}">
              <a16:creationId xmlns:a16="http://schemas.microsoft.com/office/drawing/2014/main" id="{966DF8B8-7288-47A6-9E4C-8325224ED1E9}"/>
            </a:ext>
          </a:extLst>
        </xdr:cNvPr>
        <xdr:cNvSpPr txBox="1"/>
      </xdr:nvSpPr>
      <xdr:spPr>
        <a:xfrm>
          <a:off x="4398315" y="1280731"/>
          <a:ext cx="692785" cy="146685"/>
        </a:xfrm>
        <a:prstGeom prst="rect">
          <a:avLst/>
        </a:prstGeom>
      </xdr:spPr>
      <xdr:txBody>
        <a:bodyPr vert="horz" wrap="square" lIns="0" tIns="11430" rIns="0" bIns="0" rtlCol="0">
          <a:sp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>
            <a:lnSpc>
              <a:spcPct val="100000"/>
            </a:lnSpc>
            <a:spcBef>
              <a:spcPts val="90"/>
            </a:spcBef>
          </a:pPr>
          <a:r>
            <a:rPr sz="800" b="1" spc="-10">
              <a:solidFill>
                <a:srgbClr val="FFFFFF"/>
              </a:solidFill>
              <a:latin typeface="Trebuchet MS"/>
              <a:cs typeface="Trebuchet MS"/>
            </a:rPr>
            <a:t>Ahorr</a:t>
          </a:r>
          <a:r>
            <a:rPr sz="800" b="1" spc="-5">
              <a:solidFill>
                <a:srgbClr val="FFFFFF"/>
              </a:solidFill>
              <a:latin typeface="Trebuchet MS"/>
              <a:cs typeface="Trebuchet MS"/>
            </a:rPr>
            <a:t>o</a:t>
          </a:r>
          <a:r>
            <a:rPr sz="800" b="1">
              <a:solidFill>
                <a:srgbClr val="FFFFFF"/>
              </a:solidFill>
              <a:latin typeface="Trebuchet MS"/>
              <a:cs typeface="Trebuchet MS"/>
            </a:rPr>
            <a:t> </a:t>
          </a:r>
          <a:r>
            <a:rPr sz="800" b="1" spc="-10">
              <a:solidFill>
                <a:srgbClr val="FFFFFF"/>
              </a:solidFill>
              <a:latin typeface="Trebuchet MS"/>
              <a:cs typeface="Trebuchet MS"/>
            </a:rPr>
            <a:t>Actual</a:t>
          </a:r>
          <a:endParaRPr sz="800">
            <a:latin typeface="Trebuchet MS"/>
            <a:cs typeface="Trebuchet MS"/>
          </a:endParaRPr>
        </a:p>
      </xdr:txBody>
    </xdr:sp>
    <xdr:clientData/>
  </xdr:twoCellAnchor>
  <xdr:twoCellAnchor>
    <xdr:from>
      <xdr:col>6</xdr:col>
      <xdr:colOff>688772</xdr:colOff>
      <xdr:row>6</xdr:row>
      <xdr:rowOff>171158</xdr:rowOff>
    </xdr:from>
    <xdr:to>
      <xdr:col>8</xdr:col>
      <xdr:colOff>426517</xdr:colOff>
      <xdr:row>9</xdr:row>
      <xdr:rowOff>89814</xdr:rowOff>
    </xdr:to>
    <xdr:grpSp>
      <xdr:nvGrpSpPr>
        <xdr:cNvPr id="34" name="object 44">
          <a:extLst>
            <a:ext uri="{FF2B5EF4-FFF2-40B4-BE49-F238E27FC236}">
              <a16:creationId xmlns:a16="http://schemas.microsoft.com/office/drawing/2014/main" id="{F75FDA7F-C0CB-437F-B15F-C9099B737753}"/>
            </a:ext>
          </a:extLst>
        </xdr:cNvPr>
        <xdr:cNvGrpSpPr/>
      </xdr:nvGrpSpPr>
      <xdr:grpSpPr>
        <a:xfrm>
          <a:off x="5260772" y="1314158"/>
          <a:ext cx="1261745" cy="490156"/>
          <a:chOff x="5551551" y="2201570"/>
          <a:chExt cx="1261745" cy="490156"/>
        </a:xfrm>
      </xdr:grpSpPr>
      <xdr:sp macro="" textlink="">
        <xdr:nvSpPr>
          <xdr:cNvPr id="35" name="object 45">
            <a:extLst>
              <a:ext uri="{FF2B5EF4-FFF2-40B4-BE49-F238E27FC236}">
                <a16:creationId xmlns:a16="http://schemas.microsoft.com/office/drawing/2014/main" id="{7028FE09-0A6A-EAB7-98FC-5F66B11BB5C2}"/>
              </a:ext>
            </a:extLst>
          </xdr:cNvPr>
          <xdr:cNvSpPr/>
        </xdr:nvSpPr>
        <xdr:spPr>
          <a:xfrm>
            <a:off x="5556377" y="2205951"/>
            <a:ext cx="1250950" cy="485775"/>
          </a:xfrm>
          <a:custGeom>
            <a:avLst/>
            <a:gdLst/>
            <a:ahLst/>
            <a:cxnLst/>
            <a:rect l="l" t="t" r="r" b="b"/>
            <a:pathLst>
              <a:path w="1250950" h="485775">
                <a:moveTo>
                  <a:pt x="0" y="485432"/>
                </a:moveTo>
                <a:lnTo>
                  <a:pt x="1250416" y="485432"/>
                </a:lnTo>
                <a:lnTo>
                  <a:pt x="1250416" y="0"/>
                </a:lnTo>
                <a:lnTo>
                  <a:pt x="0" y="0"/>
                </a:lnTo>
                <a:lnTo>
                  <a:pt x="0" y="485432"/>
                </a:lnTo>
                <a:close/>
              </a:path>
            </a:pathLst>
          </a:custGeom>
          <a:ln w="11811">
            <a:solidFill>
              <a:srgbClr val="7BAE5F"/>
            </a:solidFill>
          </a:ln>
        </xdr:spPr>
        <xdr:txBody>
          <a:bodyPr wrap="square" lIns="0" tIns="0" rIns="0" bIns="0" rtlCol="0"/>
          <a:lstStyle>
            <a:defPPr>
              <a:defRPr lang="es-CO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/>
          </a:p>
        </xdr:txBody>
      </xdr:sp>
      <xdr:sp macro="" textlink="">
        <xdr:nvSpPr>
          <xdr:cNvPr id="36" name="object 46">
            <a:extLst>
              <a:ext uri="{FF2B5EF4-FFF2-40B4-BE49-F238E27FC236}">
                <a16:creationId xmlns:a16="http://schemas.microsoft.com/office/drawing/2014/main" id="{3026FDF0-3EC0-04E1-6F28-2FB7AC997EB4}"/>
              </a:ext>
            </a:extLst>
          </xdr:cNvPr>
          <xdr:cNvSpPr/>
        </xdr:nvSpPr>
        <xdr:spPr>
          <a:xfrm>
            <a:off x="5551551" y="2201570"/>
            <a:ext cx="1261745" cy="194310"/>
          </a:xfrm>
          <a:custGeom>
            <a:avLst/>
            <a:gdLst/>
            <a:ahLst/>
            <a:cxnLst/>
            <a:rect l="l" t="t" r="r" b="b"/>
            <a:pathLst>
              <a:path w="1261745" h="194310">
                <a:moveTo>
                  <a:pt x="1261249" y="0"/>
                </a:moveTo>
                <a:lnTo>
                  <a:pt x="0" y="0"/>
                </a:lnTo>
                <a:lnTo>
                  <a:pt x="0" y="194284"/>
                </a:lnTo>
                <a:lnTo>
                  <a:pt x="1261249" y="194284"/>
                </a:lnTo>
                <a:lnTo>
                  <a:pt x="1261249" y="0"/>
                </a:lnTo>
                <a:close/>
              </a:path>
            </a:pathLst>
          </a:custGeom>
          <a:solidFill>
            <a:srgbClr val="7BAE5F"/>
          </a:solidFill>
        </xdr:spPr>
        <xdr:txBody>
          <a:bodyPr wrap="square" lIns="0" tIns="0" rIns="0" bIns="0" rtlCol="0"/>
          <a:lstStyle>
            <a:defPPr>
              <a:defRPr lang="es-CO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/>
          </a:p>
        </xdr:txBody>
      </xdr:sp>
    </xdr:grpSp>
    <xdr:clientData/>
  </xdr:twoCellAnchor>
  <xdr:twoCellAnchor>
    <xdr:from>
      <xdr:col>7</xdr:col>
      <xdr:colOff>122224</xdr:colOff>
      <xdr:row>7</xdr:row>
      <xdr:rowOff>1460</xdr:rowOff>
    </xdr:from>
    <xdr:to>
      <xdr:col>8</xdr:col>
      <xdr:colOff>245414</xdr:colOff>
      <xdr:row>7</xdr:row>
      <xdr:rowOff>148145</xdr:rowOff>
    </xdr:to>
    <xdr:sp macro="" textlink="">
      <xdr:nvSpPr>
        <xdr:cNvPr id="37" name="object 47">
          <a:extLst>
            <a:ext uri="{FF2B5EF4-FFF2-40B4-BE49-F238E27FC236}">
              <a16:creationId xmlns:a16="http://schemas.microsoft.com/office/drawing/2014/main" id="{29A4ABE7-B847-49C4-AE6E-5D1F6624F13E}"/>
            </a:ext>
          </a:extLst>
        </xdr:cNvPr>
        <xdr:cNvSpPr txBox="1"/>
      </xdr:nvSpPr>
      <xdr:spPr>
        <a:xfrm>
          <a:off x="5669584" y="1281620"/>
          <a:ext cx="915670" cy="146685"/>
        </a:xfrm>
        <a:prstGeom prst="rect">
          <a:avLst/>
        </a:prstGeom>
      </xdr:spPr>
      <xdr:txBody>
        <a:bodyPr vert="horz" wrap="square" lIns="0" tIns="11430" rIns="0" bIns="0" rtlCol="0">
          <a:sp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>
            <a:lnSpc>
              <a:spcPct val="100000"/>
            </a:lnSpc>
            <a:spcBef>
              <a:spcPts val="90"/>
            </a:spcBef>
          </a:pPr>
          <a:r>
            <a:rPr sz="800" b="1" spc="-10">
              <a:solidFill>
                <a:srgbClr val="FFFFFF"/>
              </a:solidFill>
              <a:latin typeface="Trebuchet MS"/>
              <a:cs typeface="Trebuchet MS"/>
            </a:rPr>
            <a:t>Ahorro</a:t>
          </a:r>
          <a:r>
            <a:rPr sz="800" b="1" spc="-30">
              <a:solidFill>
                <a:srgbClr val="FFFFFF"/>
              </a:solidFill>
              <a:latin typeface="Trebuchet MS"/>
              <a:cs typeface="Trebuchet MS"/>
            </a:rPr>
            <a:t> </a:t>
          </a:r>
          <a:r>
            <a:rPr sz="800" b="1" spc="-10">
              <a:solidFill>
                <a:srgbClr val="FFFFFF"/>
              </a:solidFill>
              <a:latin typeface="Trebuchet MS"/>
              <a:cs typeface="Trebuchet MS"/>
            </a:rPr>
            <a:t>Acumulado</a:t>
          </a:r>
          <a:endParaRPr sz="800">
            <a:latin typeface="Trebuchet MS"/>
            <a:cs typeface="Trebuchet MS"/>
          </a:endParaRPr>
        </a:p>
      </xdr:txBody>
    </xdr:sp>
    <xdr:clientData/>
  </xdr:twoCellAnchor>
  <xdr:twoCellAnchor>
    <xdr:from>
      <xdr:col>5</xdr:col>
      <xdr:colOff>358385</xdr:colOff>
      <xdr:row>8</xdr:row>
      <xdr:rowOff>32966</xdr:rowOff>
    </xdr:from>
    <xdr:to>
      <xdr:col>6</xdr:col>
      <xdr:colOff>503165</xdr:colOff>
      <xdr:row>9</xdr:row>
      <xdr:rowOff>35916</xdr:rowOff>
    </xdr:to>
    <xdr:sp macro="" textlink="">
      <xdr:nvSpPr>
        <xdr:cNvPr id="38" name="object 48">
          <a:extLst>
            <a:ext uri="{FF2B5EF4-FFF2-40B4-BE49-F238E27FC236}">
              <a16:creationId xmlns:a16="http://schemas.microsoft.com/office/drawing/2014/main" id="{769DA37B-AE4E-4F51-B6CA-6540D8A9ABA7}"/>
            </a:ext>
          </a:extLst>
        </xdr:cNvPr>
        <xdr:cNvSpPr txBox="1"/>
      </xdr:nvSpPr>
      <xdr:spPr>
        <a:xfrm>
          <a:off x="4320785" y="1496006"/>
          <a:ext cx="937260" cy="185830"/>
        </a:xfrm>
        <a:prstGeom prst="rect">
          <a:avLst/>
        </a:prstGeom>
      </xdr:spPr>
      <xdr:txBody>
        <a:bodyPr vert="horz" wrap="square" lIns="0" tIns="14604" rIns="0" bIns="0" rtlCol="0">
          <a:sp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>
            <a:lnSpc>
              <a:spcPct val="100000"/>
            </a:lnSpc>
            <a:spcBef>
              <a:spcPts val="114"/>
            </a:spcBef>
          </a:pPr>
          <a:endParaRPr sz="1200">
            <a:latin typeface="Trebuchet MS"/>
            <a:cs typeface="Trebuchet MS"/>
          </a:endParaRPr>
        </a:p>
      </xdr:txBody>
    </xdr:sp>
    <xdr:clientData/>
  </xdr:twoCellAnchor>
  <xdr:twoCellAnchor>
    <xdr:from>
      <xdr:col>6</xdr:col>
      <xdr:colOff>696058</xdr:colOff>
      <xdr:row>8</xdr:row>
      <xdr:rowOff>25651</xdr:rowOff>
    </xdr:from>
    <xdr:to>
      <xdr:col>8</xdr:col>
      <xdr:colOff>410307</xdr:colOff>
      <xdr:row>9</xdr:row>
      <xdr:rowOff>28601</xdr:rowOff>
    </xdr:to>
    <xdr:sp macro="" textlink="">
      <xdr:nvSpPr>
        <xdr:cNvPr id="39" name="object 49">
          <a:extLst>
            <a:ext uri="{FF2B5EF4-FFF2-40B4-BE49-F238E27FC236}">
              <a16:creationId xmlns:a16="http://schemas.microsoft.com/office/drawing/2014/main" id="{8EB29FC5-9398-43FA-B741-9B423FF07103}"/>
            </a:ext>
          </a:extLst>
        </xdr:cNvPr>
        <xdr:cNvSpPr txBox="1"/>
      </xdr:nvSpPr>
      <xdr:spPr>
        <a:xfrm>
          <a:off x="5268058" y="1549651"/>
          <a:ext cx="1238249" cy="193450"/>
        </a:xfrm>
        <a:prstGeom prst="rect">
          <a:avLst/>
        </a:prstGeom>
      </xdr:spPr>
      <xdr:txBody>
        <a:bodyPr vert="horz" wrap="square" lIns="0" tIns="14604" rIns="0" bIns="0" rtlCol="0">
          <a:sp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l" defTabSz="914400" rtl="0" eaLnBrk="1" latinLnBrk="0" hangingPunct="1">
            <a:lnSpc>
              <a:spcPct val="100000"/>
            </a:lnSpc>
            <a:spcBef>
              <a:spcPts val="114"/>
            </a:spcBef>
          </a:pPr>
          <a:r>
            <a:rPr lang="es-CO" sz="1200" b="1" kern="1200" spc="-70">
              <a:solidFill>
                <a:srgbClr val="22362C"/>
              </a:solidFill>
              <a:latin typeface="Trebuchet MS"/>
              <a:ea typeface="+mn-ea"/>
              <a:cs typeface="Trebuchet MS"/>
            </a:rPr>
            <a:t> </a:t>
          </a:r>
          <a:endParaRPr sz="1200" b="1" kern="1200" spc="-70">
            <a:solidFill>
              <a:srgbClr val="22362C"/>
            </a:solidFill>
            <a:latin typeface="Trebuchet MS"/>
            <a:ea typeface="+mn-ea"/>
            <a:cs typeface="Trebuchet MS"/>
          </a:endParaRPr>
        </a:p>
      </xdr:txBody>
    </xdr:sp>
    <xdr:clientData/>
  </xdr:twoCellAnchor>
  <xdr:twoCellAnchor>
    <xdr:from>
      <xdr:col>5</xdr:col>
      <xdr:colOff>128595</xdr:colOff>
      <xdr:row>27</xdr:row>
      <xdr:rowOff>126622</xdr:rowOff>
    </xdr:from>
    <xdr:to>
      <xdr:col>6</xdr:col>
      <xdr:colOff>636928</xdr:colOff>
      <xdr:row>30</xdr:row>
      <xdr:rowOff>42825</xdr:rowOff>
    </xdr:to>
    <xdr:sp macro="" textlink="">
      <xdr:nvSpPr>
        <xdr:cNvPr id="40" name="object 76">
          <a:extLst>
            <a:ext uri="{FF2B5EF4-FFF2-40B4-BE49-F238E27FC236}">
              <a16:creationId xmlns:a16="http://schemas.microsoft.com/office/drawing/2014/main" id="{5C27D2A2-8001-454E-8831-A0581F72CCA2}"/>
            </a:ext>
          </a:extLst>
        </xdr:cNvPr>
        <xdr:cNvSpPr/>
      </xdr:nvSpPr>
      <xdr:spPr>
        <a:xfrm>
          <a:off x="4090995" y="5064382"/>
          <a:ext cx="1300813" cy="464843"/>
        </a:xfrm>
        <a:custGeom>
          <a:avLst/>
          <a:gdLst/>
          <a:ahLst/>
          <a:cxnLst/>
          <a:rect l="l" t="t" r="r" b="b"/>
          <a:pathLst>
            <a:path w="1250314" h="485140">
              <a:moveTo>
                <a:pt x="0" y="484835"/>
              </a:moveTo>
              <a:lnTo>
                <a:pt x="1250061" y="484835"/>
              </a:lnTo>
              <a:lnTo>
                <a:pt x="1250061" y="0"/>
              </a:lnTo>
              <a:lnTo>
                <a:pt x="0" y="0"/>
              </a:lnTo>
              <a:lnTo>
                <a:pt x="0" y="484835"/>
              </a:lnTo>
              <a:close/>
            </a:path>
          </a:pathLst>
        </a:custGeom>
        <a:ln w="11811">
          <a:solidFill>
            <a:srgbClr val="7BAE5F"/>
          </a:solidFill>
        </a:ln>
      </xdr:spPr>
      <xdr:txBody>
        <a:bodyPr wrap="square" lIns="0" tIns="0" rIns="0" bIns="0" rtlCol="0"/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/>
        </a:p>
      </xdr:txBody>
    </xdr:sp>
    <xdr:clientData/>
  </xdr:twoCellAnchor>
  <xdr:twoCellAnchor>
    <xdr:from>
      <xdr:col>5</xdr:col>
      <xdr:colOff>124626</xdr:colOff>
      <xdr:row>27</xdr:row>
      <xdr:rowOff>121680</xdr:rowOff>
    </xdr:from>
    <xdr:to>
      <xdr:col>6</xdr:col>
      <xdr:colOff>644865</xdr:colOff>
      <xdr:row>28</xdr:row>
      <xdr:rowOff>125304</xdr:rowOff>
    </xdr:to>
    <xdr:sp macro="" textlink="">
      <xdr:nvSpPr>
        <xdr:cNvPr id="41" name="object 77">
          <a:extLst>
            <a:ext uri="{FF2B5EF4-FFF2-40B4-BE49-F238E27FC236}">
              <a16:creationId xmlns:a16="http://schemas.microsoft.com/office/drawing/2014/main" id="{4CC234B2-753E-4428-9125-28909CE92D9E}"/>
            </a:ext>
          </a:extLst>
        </xdr:cNvPr>
        <xdr:cNvSpPr/>
      </xdr:nvSpPr>
      <xdr:spPr>
        <a:xfrm>
          <a:off x="3934626" y="5265180"/>
          <a:ext cx="1282239" cy="194124"/>
        </a:xfrm>
        <a:custGeom>
          <a:avLst/>
          <a:gdLst/>
          <a:ahLst/>
          <a:cxnLst/>
          <a:rect l="l" t="t" r="r" b="b"/>
          <a:pathLst>
            <a:path w="1261745" h="194310">
              <a:moveTo>
                <a:pt x="1261249" y="0"/>
              </a:moveTo>
              <a:lnTo>
                <a:pt x="0" y="0"/>
              </a:lnTo>
              <a:lnTo>
                <a:pt x="0" y="194284"/>
              </a:lnTo>
              <a:lnTo>
                <a:pt x="1261249" y="194284"/>
              </a:lnTo>
              <a:lnTo>
                <a:pt x="1261249" y="0"/>
              </a:lnTo>
              <a:close/>
            </a:path>
          </a:pathLst>
        </a:custGeom>
        <a:solidFill>
          <a:srgbClr val="7BAE5F"/>
        </a:solidFill>
      </xdr:spPr>
      <xdr:txBody>
        <a:bodyPr wrap="square" lIns="0" tIns="0" rIns="0" bIns="0" rtlCol="0"/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/>
        </a:p>
      </xdr:txBody>
    </xdr:sp>
    <xdr:clientData/>
  </xdr:twoCellAnchor>
  <xdr:twoCellAnchor>
    <xdr:from>
      <xdr:col>6</xdr:col>
      <xdr:colOff>710218</xdr:colOff>
      <xdr:row>27</xdr:row>
      <xdr:rowOff>126561</xdr:rowOff>
    </xdr:from>
    <xdr:to>
      <xdr:col>8</xdr:col>
      <xdr:colOff>424466</xdr:colOff>
      <xdr:row>30</xdr:row>
      <xdr:rowOff>43992</xdr:rowOff>
    </xdr:to>
    <xdr:sp macro="" textlink="">
      <xdr:nvSpPr>
        <xdr:cNvPr id="42" name="object 78">
          <a:extLst>
            <a:ext uri="{FF2B5EF4-FFF2-40B4-BE49-F238E27FC236}">
              <a16:creationId xmlns:a16="http://schemas.microsoft.com/office/drawing/2014/main" id="{108EC22D-1216-400D-8834-2A54941EB7E5}"/>
            </a:ext>
          </a:extLst>
        </xdr:cNvPr>
        <xdr:cNvSpPr/>
      </xdr:nvSpPr>
      <xdr:spPr>
        <a:xfrm>
          <a:off x="5465098" y="5064321"/>
          <a:ext cx="1299208" cy="466071"/>
        </a:xfrm>
        <a:custGeom>
          <a:avLst/>
          <a:gdLst/>
          <a:ahLst/>
          <a:cxnLst/>
          <a:rect l="l" t="t" r="r" b="b"/>
          <a:pathLst>
            <a:path w="1250315" h="486409">
              <a:moveTo>
                <a:pt x="0" y="485787"/>
              </a:moveTo>
              <a:lnTo>
                <a:pt x="1250061" y="485787"/>
              </a:lnTo>
              <a:lnTo>
                <a:pt x="1250061" y="0"/>
              </a:lnTo>
              <a:lnTo>
                <a:pt x="0" y="0"/>
              </a:lnTo>
              <a:lnTo>
                <a:pt x="0" y="485787"/>
              </a:lnTo>
              <a:close/>
            </a:path>
          </a:pathLst>
        </a:custGeom>
        <a:ln w="11811">
          <a:solidFill>
            <a:srgbClr val="7BAE5F"/>
          </a:solidFill>
        </a:ln>
      </xdr:spPr>
      <xdr:txBody>
        <a:bodyPr wrap="square" lIns="0" tIns="0" rIns="0" bIns="0" rtlCol="0"/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/>
        </a:p>
      </xdr:txBody>
    </xdr:sp>
    <xdr:clientData/>
  </xdr:twoCellAnchor>
  <xdr:twoCellAnchor>
    <xdr:from>
      <xdr:col>6</xdr:col>
      <xdr:colOff>706249</xdr:colOff>
      <xdr:row>27</xdr:row>
      <xdr:rowOff>122638</xdr:rowOff>
    </xdr:from>
    <xdr:to>
      <xdr:col>8</xdr:col>
      <xdr:colOff>432403</xdr:colOff>
      <xdr:row>28</xdr:row>
      <xdr:rowOff>126262</xdr:rowOff>
    </xdr:to>
    <xdr:sp macro="" textlink="">
      <xdr:nvSpPr>
        <xdr:cNvPr id="43" name="object 79">
          <a:extLst>
            <a:ext uri="{FF2B5EF4-FFF2-40B4-BE49-F238E27FC236}">
              <a16:creationId xmlns:a16="http://schemas.microsoft.com/office/drawing/2014/main" id="{2D0C1EE0-3C3A-4697-B2A8-1C36D05BDD67}"/>
            </a:ext>
          </a:extLst>
        </xdr:cNvPr>
        <xdr:cNvSpPr/>
      </xdr:nvSpPr>
      <xdr:spPr>
        <a:xfrm>
          <a:off x="5461129" y="5060398"/>
          <a:ext cx="1311114" cy="186504"/>
        </a:xfrm>
        <a:custGeom>
          <a:avLst/>
          <a:gdLst/>
          <a:ahLst/>
          <a:cxnLst/>
          <a:rect l="l" t="t" r="r" b="b"/>
          <a:pathLst>
            <a:path w="1261745" h="194310">
              <a:moveTo>
                <a:pt x="1261249" y="0"/>
              </a:moveTo>
              <a:lnTo>
                <a:pt x="0" y="0"/>
              </a:lnTo>
              <a:lnTo>
                <a:pt x="0" y="193928"/>
              </a:lnTo>
              <a:lnTo>
                <a:pt x="1261249" y="193928"/>
              </a:lnTo>
              <a:lnTo>
                <a:pt x="1261249" y="0"/>
              </a:lnTo>
              <a:close/>
            </a:path>
          </a:pathLst>
        </a:custGeom>
        <a:solidFill>
          <a:srgbClr val="7BAE5F"/>
        </a:solidFill>
      </xdr:spPr>
      <xdr:txBody>
        <a:bodyPr wrap="square" lIns="0" tIns="0" rIns="0" bIns="0" rtlCol="0"/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/>
        </a:p>
      </xdr:txBody>
    </xdr:sp>
    <xdr:clientData/>
  </xdr:twoCellAnchor>
  <xdr:twoCellAnchor>
    <xdr:from>
      <xdr:col>5</xdr:col>
      <xdr:colOff>223824</xdr:colOff>
      <xdr:row>27</xdr:row>
      <xdr:rowOff>87923</xdr:rowOff>
    </xdr:from>
    <xdr:to>
      <xdr:col>6</xdr:col>
      <xdr:colOff>586408</xdr:colOff>
      <xdr:row>28</xdr:row>
      <xdr:rowOff>124558</xdr:rowOff>
    </xdr:to>
    <xdr:sp macro="" textlink="">
      <xdr:nvSpPr>
        <xdr:cNvPr id="44" name="object 80">
          <a:extLst>
            <a:ext uri="{FF2B5EF4-FFF2-40B4-BE49-F238E27FC236}">
              <a16:creationId xmlns:a16="http://schemas.microsoft.com/office/drawing/2014/main" id="{89F51784-6654-4520-8B9D-EFA3D5957B0C}"/>
            </a:ext>
          </a:extLst>
        </xdr:cNvPr>
        <xdr:cNvSpPr txBox="1"/>
      </xdr:nvSpPr>
      <xdr:spPr>
        <a:xfrm>
          <a:off x="4033824" y="5231423"/>
          <a:ext cx="1124584" cy="227135"/>
        </a:xfrm>
        <a:prstGeom prst="rect">
          <a:avLst/>
        </a:prstGeom>
      </xdr:spPr>
      <xdr:txBody>
        <a:bodyPr vert="horz" wrap="square" lIns="0" tIns="67945" rIns="0" bIns="0" rtlCol="0" anchor="t">
          <a:no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176530">
            <a:lnSpc>
              <a:spcPct val="100000"/>
            </a:lnSpc>
            <a:spcBef>
              <a:spcPts val="535"/>
            </a:spcBef>
          </a:pPr>
          <a:r>
            <a:rPr sz="800" b="1" spc="-10">
              <a:solidFill>
                <a:srgbClr val="FFFFFF"/>
              </a:solidFill>
              <a:latin typeface="Trebuchet MS"/>
              <a:cs typeface="Trebuchet MS"/>
            </a:rPr>
            <a:t>Periodo</a:t>
          </a:r>
          <a:r>
            <a:rPr sz="800" b="1" spc="-45">
              <a:solidFill>
                <a:srgbClr val="FFFFFF"/>
              </a:solidFill>
              <a:latin typeface="Trebuchet MS"/>
              <a:cs typeface="Trebuchet MS"/>
            </a:rPr>
            <a:t> </a:t>
          </a:r>
          <a:r>
            <a:rPr sz="800" b="1" spc="-10">
              <a:solidFill>
                <a:srgbClr val="FFFFFF"/>
              </a:solidFill>
              <a:latin typeface="Trebuchet MS"/>
              <a:cs typeface="Trebuchet MS"/>
            </a:rPr>
            <a:t>Actual</a:t>
          </a:r>
          <a:endParaRPr sz="800">
            <a:latin typeface="Trebuchet MS"/>
            <a:cs typeface="Trebuchet MS"/>
          </a:endParaRPr>
        </a:p>
        <a:p>
          <a:pPr>
            <a:lnSpc>
              <a:spcPct val="100000"/>
            </a:lnSpc>
            <a:spcBef>
              <a:spcPts val="735"/>
            </a:spcBef>
          </a:pPr>
          <a:endParaRPr sz="1250">
            <a:latin typeface="Trebuchet MS"/>
            <a:cs typeface="Trebuchet MS"/>
          </a:endParaRPr>
        </a:p>
      </xdr:txBody>
    </xdr:sp>
    <xdr:clientData/>
  </xdr:twoCellAnchor>
  <xdr:twoCellAnchor>
    <xdr:from>
      <xdr:col>7</xdr:col>
      <xdr:colOff>23711</xdr:colOff>
      <xdr:row>27</xdr:row>
      <xdr:rowOff>90649</xdr:rowOff>
    </xdr:from>
    <xdr:to>
      <xdr:col>8</xdr:col>
      <xdr:colOff>386296</xdr:colOff>
      <xdr:row>28</xdr:row>
      <xdr:rowOff>139212</xdr:rowOff>
    </xdr:to>
    <xdr:sp macro="" textlink="">
      <xdr:nvSpPr>
        <xdr:cNvPr id="45" name="object 81">
          <a:extLst>
            <a:ext uri="{FF2B5EF4-FFF2-40B4-BE49-F238E27FC236}">
              <a16:creationId xmlns:a16="http://schemas.microsoft.com/office/drawing/2014/main" id="{CF8A81A1-79CB-4853-82CD-F9A46E191594}"/>
            </a:ext>
          </a:extLst>
        </xdr:cNvPr>
        <xdr:cNvSpPr txBox="1"/>
      </xdr:nvSpPr>
      <xdr:spPr>
        <a:xfrm>
          <a:off x="5357711" y="5234149"/>
          <a:ext cx="1124585" cy="239063"/>
        </a:xfrm>
        <a:prstGeom prst="rect">
          <a:avLst/>
        </a:prstGeom>
      </xdr:spPr>
      <xdr:txBody>
        <a:bodyPr vert="horz" wrap="square" lIns="0" tIns="67310" rIns="0" bIns="0" rtlCol="0">
          <a:no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292100">
            <a:lnSpc>
              <a:spcPct val="100000"/>
            </a:lnSpc>
            <a:spcBef>
              <a:spcPts val="530"/>
            </a:spcBef>
          </a:pPr>
          <a:r>
            <a:rPr sz="800" b="1" spc="-10">
              <a:solidFill>
                <a:srgbClr val="FFFFFF"/>
              </a:solidFill>
              <a:latin typeface="Trebuchet MS"/>
              <a:cs typeface="Trebuchet MS"/>
            </a:rPr>
            <a:t>Acumulado</a:t>
          </a:r>
          <a:endParaRPr sz="800">
            <a:latin typeface="Trebuchet MS"/>
            <a:cs typeface="Trebuchet MS"/>
          </a:endParaRPr>
        </a:p>
      </xdr:txBody>
    </xdr:sp>
    <xdr:clientData/>
  </xdr:twoCellAnchor>
  <xdr:twoCellAnchor>
    <xdr:from>
      <xdr:col>0</xdr:col>
      <xdr:colOff>675772</xdr:colOff>
      <xdr:row>45</xdr:row>
      <xdr:rowOff>13951</xdr:rowOff>
    </xdr:from>
    <xdr:to>
      <xdr:col>4</xdr:col>
      <xdr:colOff>529021</xdr:colOff>
      <xdr:row>45</xdr:row>
      <xdr:rowOff>185416</xdr:rowOff>
    </xdr:to>
    <xdr:sp macro="" textlink="">
      <xdr:nvSpPr>
        <xdr:cNvPr id="46" name="object 82">
          <a:extLst>
            <a:ext uri="{FF2B5EF4-FFF2-40B4-BE49-F238E27FC236}">
              <a16:creationId xmlns:a16="http://schemas.microsoft.com/office/drawing/2014/main" id="{9A59152E-4E69-4B6C-987C-953CF27AF3A7}"/>
            </a:ext>
          </a:extLst>
        </xdr:cNvPr>
        <xdr:cNvSpPr txBox="1"/>
      </xdr:nvSpPr>
      <xdr:spPr>
        <a:xfrm>
          <a:off x="675772" y="8586451"/>
          <a:ext cx="2901249" cy="171465"/>
        </a:xfrm>
        <a:prstGeom prst="rect">
          <a:avLst/>
        </a:prstGeom>
      </xdr:spPr>
      <xdr:txBody>
        <a:bodyPr vert="horz" wrap="square" lIns="0" tIns="43180" rIns="0" bIns="0" rtlCol="0">
          <a:sp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12700" indent="0" algn="l" defTabSz="914400" rtl="0" eaLnBrk="1" latinLnBrk="0" hangingPunct="1">
            <a:lnSpc>
              <a:spcPct val="100000"/>
            </a:lnSpc>
            <a:spcBef>
              <a:spcPts val="95"/>
            </a:spcBef>
          </a:pPr>
          <a:r>
            <a:rPr lang="es-CO" sz="800" b="1" kern="1200" spc="5">
              <a:solidFill>
                <a:srgbClr val="2E463A"/>
              </a:solidFill>
              <a:latin typeface="Trebuchet MS"/>
              <a:ea typeface="+mn-ea"/>
              <a:cs typeface="Trebuchet MS"/>
            </a:rPr>
            <a:t>CL 27 46 70 MEDELLIN</a:t>
          </a:r>
          <a:endParaRPr sz="800" b="1" kern="1200" spc="5">
            <a:solidFill>
              <a:srgbClr val="2E463A"/>
            </a:solidFill>
            <a:latin typeface="Trebuchet MS"/>
            <a:ea typeface="+mn-ea"/>
            <a:cs typeface="Trebuchet MS"/>
          </a:endParaRPr>
        </a:p>
      </xdr:txBody>
    </xdr:sp>
    <xdr:clientData/>
  </xdr:twoCellAnchor>
  <xdr:twoCellAnchor>
    <xdr:from>
      <xdr:col>0</xdr:col>
      <xdr:colOff>50800</xdr:colOff>
      <xdr:row>42</xdr:row>
      <xdr:rowOff>129025</xdr:rowOff>
    </xdr:from>
    <xdr:to>
      <xdr:col>4</xdr:col>
      <xdr:colOff>613507</xdr:colOff>
      <xdr:row>45</xdr:row>
      <xdr:rowOff>68009</xdr:rowOff>
    </xdr:to>
    <xdr:sp macro="" textlink="">
      <xdr:nvSpPr>
        <xdr:cNvPr id="47" name="object 83">
          <a:extLst>
            <a:ext uri="{FF2B5EF4-FFF2-40B4-BE49-F238E27FC236}">
              <a16:creationId xmlns:a16="http://schemas.microsoft.com/office/drawing/2014/main" id="{E6589362-FE00-4462-863E-0973B6C90C5C}"/>
            </a:ext>
          </a:extLst>
        </xdr:cNvPr>
        <xdr:cNvSpPr txBox="1"/>
      </xdr:nvSpPr>
      <xdr:spPr>
        <a:xfrm>
          <a:off x="50800" y="8130025"/>
          <a:ext cx="3610707" cy="510484"/>
        </a:xfrm>
        <a:prstGeom prst="rect">
          <a:avLst/>
        </a:prstGeom>
      </xdr:spPr>
      <xdr:txBody>
        <a:bodyPr vert="horz" wrap="square" lIns="0" tIns="43180" rIns="0" bIns="0" rtlCol="0">
          <a:sp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38100">
            <a:lnSpc>
              <a:spcPct val="100000"/>
            </a:lnSpc>
            <a:spcBef>
              <a:spcPts val="340"/>
            </a:spcBef>
          </a:pPr>
          <a:r>
            <a:rPr sz="1350" b="1" spc="7" baseline="-6172">
              <a:solidFill>
                <a:srgbClr val="2E463A"/>
              </a:solidFill>
              <a:latin typeface="Trebuchet MS"/>
              <a:cs typeface="Trebuchet MS"/>
            </a:rPr>
            <a:t>Cliente</a:t>
          </a:r>
          <a:r>
            <a:rPr sz="1350" b="1" kern="1200" spc="7" baseline="-6172">
              <a:solidFill>
                <a:srgbClr val="2E463A"/>
              </a:solidFill>
              <a:latin typeface="Trebuchet MS"/>
              <a:ea typeface="+mn-ea"/>
              <a:cs typeface="Trebuchet MS"/>
            </a:rPr>
            <a:t>: </a:t>
          </a:r>
          <a:r>
            <a:rPr lang="es-CO" sz="1350" b="1" kern="1200" spc="7" baseline="-6172">
              <a:solidFill>
                <a:srgbClr val="2E463A"/>
              </a:solidFill>
              <a:latin typeface="Trebuchet MS"/>
              <a:ea typeface="+mn-ea"/>
              <a:cs typeface="Trebuchet MS"/>
            </a:rPr>
            <a:t>CENTRO INTEGRAL DE SERVICIOS PUNTO CLAVE PH</a:t>
          </a:r>
        </a:p>
        <a:p>
          <a:pPr marL="38100">
            <a:lnSpc>
              <a:spcPct val="100000"/>
            </a:lnSpc>
            <a:spcBef>
              <a:spcPts val="340"/>
            </a:spcBef>
          </a:pPr>
          <a:r>
            <a:rPr sz="1350" b="1" kern="1200" spc="7" baseline="3086">
              <a:solidFill>
                <a:srgbClr val="2E463A"/>
              </a:solidFill>
              <a:latin typeface="Trebuchet MS"/>
              <a:ea typeface="+mn-ea"/>
              <a:cs typeface="Trebuchet MS"/>
            </a:rPr>
            <a:t>Nit: </a:t>
          </a:r>
          <a:r>
            <a:rPr lang="es-CO" sz="1350" b="1" kern="1200" spc="7" baseline="3086">
              <a:solidFill>
                <a:srgbClr val="2E463A"/>
              </a:solidFill>
              <a:latin typeface="Trebuchet MS"/>
              <a:ea typeface="+mn-ea"/>
              <a:cs typeface="Trebuchet MS"/>
            </a:rPr>
            <a:t>900004830</a:t>
          </a:r>
        </a:p>
      </xdr:txBody>
    </xdr:sp>
    <xdr:clientData/>
  </xdr:twoCellAnchor>
  <xdr:twoCellAnchor>
    <xdr:from>
      <xdr:col>0</xdr:col>
      <xdr:colOff>79856</xdr:colOff>
      <xdr:row>45</xdr:row>
      <xdr:rowOff>14440</xdr:rowOff>
    </xdr:from>
    <xdr:to>
      <xdr:col>0</xdr:col>
      <xdr:colOff>672311</xdr:colOff>
      <xdr:row>46</xdr:row>
      <xdr:rowOff>5550</xdr:rowOff>
    </xdr:to>
    <xdr:sp macro="" textlink="">
      <xdr:nvSpPr>
        <xdr:cNvPr id="48" name="object 84">
          <a:extLst>
            <a:ext uri="{FF2B5EF4-FFF2-40B4-BE49-F238E27FC236}">
              <a16:creationId xmlns:a16="http://schemas.microsoft.com/office/drawing/2014/main" id="{C5076F2C-5651-47D7-8039-EF73D1BAE040}"/>
            </a:ext>
          </a:extLst>
        </xdr:cNvPr>
        <xdr:cNvSpPr txBox="1"/>
      </xdr:nvSpPr>
      <xdr:spPr>
        <a:xfrm>
          <a:off x="79856" y="8586940"/>
          <a:ext cx="592455" cy="181610"/>
        </a:xfrm>
        <a:prstGeom prst="rect">
          <a:avLst/>
        </a:prstGeom>
      </xdr:spPr>
      <xdr:txBody>
        <a:bodyPr vert="horz" wrap="square" lIns="0" tIns="15875" rIns="0" bIns="0" rtlCol="0">
          <a:sp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12700">
            <a:lnSpc>
              <a:spcPct val="100000"/>
            </a:lnSpc>
            <a:spcBef>
              <a:spcPts val="125"/>
            </a:spcBef>
          </a:pPr>
          <a:r>
            <a:rPr sz="900" b="1" spc="5">
              <a:solidFill>
                <a:srgbClr val="2E463A"/>
              </a:solidFill>
              <a:latin typeface="Trebuchet MS"/>
              <a:cs typeface="Trebuchet MS"/>
            </a:rPr>
            <a:t>Dirección</a:t>
          </a:r>
          <a:r>
            <a:rPr sz="1000" b="1" spc="5">
              <a:solidFill>
                <a:srgbClr val="2E463A"/>
              </a:solidFill>
              <a:latin typeface="Trebuchet MS"/>
              <a:cs typeface="Trebuchet MS"/>
            </a:rPr>
            <a:t>:</a:t>
          </a:r>
          <a:endParaRPr sz="1000">
            <a:latin typeface="Trebuchet MS"/>
            <a:cs typeface="Trebuchet MS"/>
          </a:endParaRPr>
        </a:p>
      </xdr:txBody>
    </xdr:sp>
    <xdr:clientData/>
  </xdr:twoCellAnchor>
  <xdr:twoCellAnchor>
    <xdr:from>
      <xdr:col>0</xdr:col>
      <xdr:colOff>75590</xdr:colOff>
      <xdr:row>39</xdr:row>
      <xdr:rowOff>48982</xdr:rowOff>
    </xdr:from>
    <xdr:to>
      <xdr:col>1</xdr:col>
      <xdr:colOff>744483</xdr:colOff>
      <xdr:row>42</xdr:row>
      <xdr:rowOff>166838</xdr:rowOff>
    </xdr:to>
    <xdr:sp macro="" textlink="">
      <xdr:nvSpPr>
        <xdr:cNvPr id="49" name="object 85">
          <a:extLst>
            <a:ext uri="{FF2B5EF4-FFF2-40B4-BE49-F238E27FC236}">
              <a16:creationId xmlns:a16="http://schemas.microsoft.com/office/drawing/2014/main" id="{136BBE6F-8259-4458-8F9E-1A168076EA19}"/>
            </a:ext>
          </a:extLst>
        </xdr:cNvPr>
        <xdr:cNvSpPr txBox="1"/>
      </xdr:nvSpPr>
      <xdr:spPr>
        <a:xfrm>
          <a:off x="75590" y="7478482"/>
          <a:ext cx="1430893" cy="689356"/>
        </a:xfrm>
        <a:prstGeom prst="rect">
          <a:avLst/>
        </a:prstGeom>
        <a:noFill/>
      </xdr:spPr>
      <xdr:txBody>
        <a:bodyPr vert="horz" wrap="square" lIns="0" tIns="635" rIns="0" bIns="0" rtlCol="0">
          <a:sp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27305" marR="5080" indent="-6985">
            <a:lnSpc>
              <a:spcPct val="107900"/>
            </a:lnSpc>
            <a:spcBef>
              <a:spcPts val="5"/>
            </a:spcBef>
          </a:pPr>
          <a:r>
            <a:rPr sz="900" b="1" spc="-5">
              <a:solidFill>
                <a:schemeClr val="accent6">
                  <a:lumMod val="50000"/>
                </a:schemeClr>
              </a:solidFill>
              <a:latin typeface="Trebuchet MS"/>
              <a:cs typeface="Trebuchet MS"/>
            </a:rPr>
            <a:t>CEN ENERGY S.A.S. </a:t>
          </a:r>
          <a:r>
            <a:rPr sz="900" b="1">
              <a:solidFill>
                <a:schemeClr val="accent6">
                  <a:lumMod val="50000"/>
                </a:schemeClr>
              </a:solidFill>
              <a:latin typeface="Trebuchet MS"/>
              <a:cs typeface="Trebuchet MS"/>
            </a:rPr>
            <a:t> </a:t>
          </a:r>
          <a:r>
            <a:rPr sz="900" b="1" spc="-5">
              <a:solidFill>
                <a:schemeClr val="accent6">
                  <a:lumMod val="50000"/>
                </a:schemeClr>
              </a:solidFill>
              <a:latin typeface="Trebuchet MS"/>
              <a:cs typeface="Trebuchet MS"/>
            </a:rPr>
            <a:t>901094947-0 </a:t>
          </a:r>
          <a:r>
            <a:rPr sz="900" b="1">
              <a:solidFill>
                <a:schemeClr val="accent6">
                  <a:lumMod val="50000"/>
                </a:schemeClr>
              </a:solidFill>
              <a:latin typeface="Trebuchet MS"/>
              <a:cs typeface="Trebuchet MS"/>
            </a:rPr>
            <a:t> </a:t>
          </a:r>
          <a:endParaRPr lang="es-CO" sz="900" b="1">
            <a:solidFill>
              <a:schemeClr val="accent6">
                <a:lumMod val="50000"/>
              </a:schemeClr>
            </a:solidFill>
            <a:latin typeface="Trebuchet MS"/>
            <a:cs typeface="Trebuchet MS"/>
          </a:endParaRPr>
        </a:p>
        <a:p>
          <a:pPr marL="27305" marR="5080" indent="-6985">
            <a:lnSpc>
              <a:spcPct val="107900"/>
            </a:lnSpc>
            <a:spcBef>
              <a:spcPts val="5"/>
            </a:spcBef>
          </a:pPr>
          <a:r>
            <a:rPr sz="750" b="1" spc="-10">
              <a:solidFill>
                <a:srgbClr val="22362C"/>
              </a:solidFill>
              <a:latin typeface="Trebuchet MS"/>
              <a:cs typeface="Trebuchet MS"/>
            </a:rPr>
            <a:t>FACTURA</a:t>
          </a:r>
          <a:r>
            <a:rPr sz="750" b="1" spc="-30">
              <a:solidFill>
                <a:srgbClr val="22362C"/>
              </a:solidFill>
              <a:latin typeface="Trebuchet MS"/>
              <a:cs typeface="Trebuchet MS"/>
            </a:rPr>
            <a:t> </a:t>
          </a:r>
          <a:endParaRPr sz="750">
            <a:latin typeface="Trebuchet MS"/>
            <a:cs typeface="Trebuchet MS"/>
          </a:endParaRPr>
        </a:p>
        <a:p>
          <a:pPr marL="20955">
            <a:lnSpc>
              <a:spcPct val="100000"/>
            </a:lnSpc>
            <a:spcBef>
              <a:spcPts val="100"/>
            </a:spcBef>
          </a:pPr>
          <a:r>
            <a:rPr sz="800" b="1" spc="15">
              <a:solidFill>
                <a:srgbClr val="2E463A"/>
              </a:solidFill>
              <a:latin typeface="Trebuchet MS"/>
              <a:cs typeface="Trebuchet MS"/>
            </a:rPr>
            <a:t>Factura</a:t>
          </a:r>
          <a:r>
            <a:rPr sz="800" b="1" spc="-10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800" b="1" spc="15">
              <a:solidFill>
                <a:srgbClr val="2E463A"/>
              </a:solidFill>
              <a:latin typeface="Trebuchet MS"/>
              <a:cs typeface="Trebuchet MS"/>
            </a:rPr>
            <a:t>No.</a:t>
          </a:r>
          <a:r>
            <a:rPr sz="800" b="1" spc="260">
              <a:solidFill>
                <a:srgbClr val="2E463A"/>
              </a:solidFill>
              <a:latin typeface="Trebuchet MS"/>
              <a:cs typeface="Trebuchet MS"/>
            </a:rPr>
            <a:t> </a:t>
          </a:r>
          <a:endParaRPr sz="800">
            <a:solidFill>
              <a:srgbClr val="FF0000"/>
            </a:solidFill>
            <a:latin typeface="Trebuchet MS"/>
            <a:cs typeface="Trebuchet MS"/>
          </a:endParaRPr>
        </a:p>
        <a:p>
          <a:pPr marL="12700">
            <a:lnSpc>
              <a:spcPct val="100000"/>
            </a:lnSpc>
            <a:spcBef>
              <a:spcPts val="90"/>
            </a:spcBef>
          </a:pPr>
          <a:r>
            <a:rPr sz="900" b="1" spc="10">
              <a:solidFill>
                <a:srgbClr val="2E463A"/>
              </a:solidFill>
              <a:latin typeface="Trebuchet MS"/>
              <a:cs typeface="Trebuchet MS"/>
            </a:rPr>
            <a:t>Contrato</a:t>
          </a:r>
          <a:r>
            <a:rPr sz="900" b="1" spc="-10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750" b="1">
              <a:solidFill>
                <a:srgbClr val="2E463A"/>
              </a:solidFill>
              <a:latin typeface="Trebuchet MS"/>
              <a:cs typeface="Trebuchet MS"/>
            </a:rPr>
            <a:t>No</a:t>
          </a:r>
          <a:r>
            <a:rPr sz="900" b="1">
              <a:solidFill>
                <a:srgbClr val="2E463A"/>
              </a:solidFill>
              <a:latin typeface="Trebuchet MS"/>
              <a:cs typeface="Trebuchet MS"/>
            </a:rPr>
            <a:t>.</a:t>
          </a:r>
          <a:r>
            <a:rPr lang="es-MX" sz="900" b="1">
              <a:solidFill>
                <a:srgbClr val="2E463A"/>
              </a:solidFill>
              <a:latin typeface="Trebuchet MS"/>
              <a:cs typeface="Trebuchet MS"/>
            </a:rPr>
            <a:t> </a:t>
          </a:r>
          <a:endParaRPr sz="900">
            <a:latin typeface="Trebuchet MS"/>
            <a:cs typeface="Trebuchet MS"/>
          </a:endParaRPr>
        </a:p>
      </xdr:txBody>
    </xdr:sp>
    <xdr:clientData/>
  </xdr:twoCellAnchor>
  <xdr:twoCellAnchor>
    <xdr:from>
      <xdr:col>5</xdr:col>
      <xdr:colOff>485825</xdr:colOff>
      <xdr:row>0</xdr:row>
      <xdr:rowOff>108547</xdr:rowOff>
    </xdr:from>
    <xdr:to>
      <xdr:col>8</xdr:col>
      <xdr:colOff>222300</xdr:colOff>
      <xdr:row>2</xdr:row>
      <xdr:rowOff>12027</xdr:rowOff>
    </xdr:to>
    <xdr:sp macro="" textlink="">
      <xdr:nvSpPr>
        <xdr:cNvPr id="50" name="object 86">
          <a:extLst>
            <a:ext uri="{FF2B5EF4-FFF2-40B4-BE49-F238E27FC236}">
              <a16:creationId xmlns:a16="http://schemas.microsoft.com/office/drawing/2014/main" id="{761BE80D-1406-4150-85A9-7B3E0C2382A6}"/>
            </a:ext>
          </a:extLst>
        </xdr:cNvPr>
        <xdr:cNvSpPr txBox="1"/>
      </xdr:nvSpPr>
      <xdr:spPr>
        <a:xfrm>
          <a:off x="4448225" y="108547"/>
          <a:ext cx="2113915" cy="269240"/>
        </a:xfrm>
        <a:prstGeom prst="rect">
          <a:avLst/>
        </a:prstGeom>
        <a:solidFill>
          <a:srgbClr val="7BAE5F"/>
        </a:solidFill>
      </xdr:spPr>
      <xdr:txBody>
        <a:bodyPr vert="horz" wrap="square" lIns="0" tIns="67945" rIns="0" bIns="0" rtlCol="0">
          <a:sp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577850">
            <a:lnSpc>
              <a:spcPct val="100000"/>
            </a:lnSpc>
            <a:spcBef>
              <a:spcPts val="535"/>
            </a:spcBef>
          </a:pPr>
          <a:r>
            <a:rPr sz="1000" b="1" spc="5">
              <a:solidFill>
                <a:srgbClr val="FFFFFF"/>
              </a:solidFill>
              <a:latin typeface="Trebuchet MS"/>
              <a:cs typeface="Trebuchet MS"/>
            </a:rPr>
            <a:t>!FELICIDADES¡</a:t>
          </a:r>
          <a:endParaRPr sz="1000">
            <a:latin typeface="Trebuchet MS"/>
            <a:cs typeface="Trebuchet MS"/>
          </a:endParaRPr>
        </a:p>
      </xdr:txBody>
    </xdr:sp>
    <xdr:clientData/>
  </xdr:twoCellAnchor>
  <xdr:twoCellAnchor>
    <xdr:from>
      <xdr:col>4</xdr:col>
      <xdr:colOff>738460</xdr:colOff>
      <xdr:row>2</xdr:row>
      <xdr:rowOff>98117</xdr:rowOff>
    </xdr:from>
    <xdr:to>
      <xdr:col>7</xdr:col>
      <xdr:colOff>663465</xdr:colOff>
      <xdr:row>7</xdr:row>
      <xdr:rowOff>32463</xdr:rowOff>
    </xdr:to>
    <xdr:sp macro="" textlink="">
      <xdr:nvSpPr>
        <xdr:cNvPr id="51" name="object 87">
          <a:extLst>
            <a:ext uri="{FF2B5EF4-FFF2-40B4-BE49-F238E27FC236}">
              <a16:creationId xmlns:a16="http://schemas.microsoft.com/office/drawing/2014/main" id="{22B58D72-9B77-4E81-9752-2B4E32E8A5F9}"/>
            </a:ext>
          </a:extLst>
        </xdr:cNvPr>
        <xdr:cNvSpPr txBox="1"/>
      </xdr:nvSpPr>
      <xdr:spPr>
        <a:xfrm>
          <a:off x="3786460" y="479117"/>
          <a:ext cx="2211005" cy="886846"/>
        </a:xfrm>
        <a:prstGeom prst="rect">
          <a:avLst/>
        </a:prstGeom>
      </xdr:spPr>
      <xdr:txBody>
        <a:bodyPr vert="horz" wrap="square" lIns="0" tIns="12065" rIns="0" bIns="0" rtlCol="0">
          <a:sp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R="5080">
            <a:lnSpc>
              <a:spcPct val="115500"/>
            </a:lnSpc>
            <a:spcBef>
              <a:spcPts val="95"/>
            </a:spcBef>
          </a:pPr>
          <a:r>
            <a:rPr sz="1000" b="1" spc="10">
              <a:solidFill>
                <a:srgbClr val="2E463A"/>
              </a:solidFill>
              <a:latin typeface="Trebuchet MS"/>
              <a:cs typeface="Trebuchet MS"/>
            </a:rPr>
            <a:t>Eres parte del cambio </a:t>
          </a:r>
          <a:r>
            <a:rPr sz="1000" b="1" spc="15">
              <a:solidFill>
                <a:srgbClr val="2E463A"/>
              </a:solidFill>
              <a:latin typeface="Trebuchet MS"/>
              <a:cs typeface="Trebuchet MS"/>
            </a:rPr>
            <a:t>en </a:t>
          </a:r>
          <a:r>
            <a:rPr sz="1000" b="1" spc="10">
              <a:solidFill>
                <a:srgbClr val="2E463A"/>
              </a:solidFill>
              <a:latin typeface="Trebuchet MS"/>
              <a:cs typeface="Trebuchet MS"/>
            </a:rPr>
            <a:t>la </a:t>
          </a:r>
          <a:r>
            <a:rPr sz="1000" b="1" spc="15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1000" b="1" spc="10">
              <a:solidFill>
                <a:srgbClr val="2E463A"/>
              </a:solidFill>
              <a:latin typeface="Trebuchet MS"/>
              <a:cs typeface="Trebuchet MS"/>
            </a:rPr>
            <a:t>generación</a:t>
          </a:r>
          <a:r>
            <a:rPr sz="1000" b="1" spc="-20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1000" b="1" spc="10">
              <a:solidFill>
                <a:srgbClr val="2E463A"/>
              </a:solidFill>
              <a:latin typeface="Trebuchet MS"/>
              <a:cs typeface="Trebuchet MS"/>
            </a:rPr>
            <a:t>de</a:t>
          </a:r>
          <a:r>
            <a:rPr sz="1000" b="1" spc="-10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1000" b="1" spc="10">
              <a:solidFill>
                <a:srgbClr val="2E463A"/>
              </a:solidFill>
              <a:latin typeface="Trebuchet MS"/>
              <a:cs typeface="Trebuchet MS"/>
            </a:rPr>
            <a:t>energías</a:t>
          </a:r>
          <a:r>
            <a:rPr sz="1000" b="1" spc="-5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1000" b="1" spc="5">
              <a:solidFill>
                <a:srgbClr val="2E463A"/>
              </a:solidFill>
              <a:latin typeface="Trebuchet MS"/>
              <a:cs typeface="Trebuchet MS"/>
            </a:rPr>
            <a:t>limpias.</a:t>
          </a:r>
          <a:endParaRPr lang="es-CO" sz="1000" b="1" spc="5">
            <a:solidFill>
              <a:srgbClr val="2E463A"/>
            </a:solidFill>
            <a:latin typeface="Trebuchet MS"/>
            <a:cs typeface="Trebuchet MS"/>
          </a:endParaRPr>
        </a:p>
        <a:p>
          <a:pPr marR="5080">
            <a:lnSpc>
              <a:spcPct val="115500"/>
            </a:lnSpc>
            <a:spcBef>
              <a:spcPts val="95"/>
            </a:spcBef>
          </a:pPr>
          <a:r>
            <a:rPr lang="es-CO" sz="1000" b="1" spc="5" baseline="0">
              <a:solidFill>
                <a:srgbClr val="2E463A"/>
              </a:solidFill>
              <a:latin typeface="Trebuchet MS"/>
              <a:cs typeface="Trebuchet MS"/>
            </a:rPr>
            <a:t>Cada día contribuyes con el medio ambiente y ahorras $</a:t>
          </a:r>
        </a:p>
        <a:p>
          <a:pPr marR="5080">
            <a:lnSpc>
              <a:spcPct val="115500"/>
            </a:lnSpc>
            <a:spcBef>
              <a:spcPts val="95"/>
            </a:spcBef>
          </a:pPr>
          <a:endParaRPr lang="es-CO" sz="1000" b="1" spc="5" baseline="0">
            <a:solidFill>
              <a:srgbClr val="2E463A"/>
            </a:solidFill>
            <a:latin typeface="Trebuchet MS"/>
            <a:cs typeface="Trebuchet MS"/>
          </a:endParaRPr>
        </a:p>
      </xdr:txBody>
    </xdr:sp>
    <xdr:clientData/>
  </xdr:twoCellAnchor>
  <xdr:twoCellAnchor editAs="oneCell">
    <xdr:from>
      <xdr:col>4</xdr:col>
      <xdr:colOff>713752</xdr:colOff>
      <xdr:row>9</xdr:row>
      <xdr:rowOff>162468</xdr:rowOff>
    </xdr:from>
    <xdr:to>
      <xdr:col>5</xdr:col>
      <xdr:colOff>538895</xdr:colOff>
      <xdr:row>12</xdr:row>
      <xdr:rowOff>149396</xdr:rowOff>
    </xdr:to>
    <xdr:pic>
      <xdr:nvPicPr>
        <xdr:cNvPr id="52" name="object 90">
          <a:extLst>
            <a:ext uri="{FF2B5EF4-FFF2-40B4-BE49-F238E27FC236}">
              <a16:creationId xmlns:a16="http://schemas.microsoft.com/office/drawing/2014/main" id="{A737B050-CC77-4ACB-B314-DE0C177A1D02}"/>
            </a:ext>
          </a:extLst>
        </xdr:cNvPr>
        <xdr:cNvPicPr/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3883672" y="1808388"/>
          <a:ext cx="617623" cy="535568"/>
        </a:xfrm>
        <a:prstGeom prst="rect">
          <a:avLst/>
        </a:prstGeom>
      </xdr:spPr>
    </xdr:pic>
    <xdr:clientData/>
  </xdr:twoCellAnchor>
  <xdr:twoCellAnchor editAs="oneCell">
    <xdr:from>
      <xdr:col>7</xdr:col>
      <xdr:colOff>720980</xdr:colOff>
      <xdr:row>23</xdr:row>
      <xdr:rowOff>50800</xdr:rowOff>
    </xdr:from>
    <xdr:to>
      <xdr:col>8</xdr:col>
      <xdr:colOff>639233</xdr:colOff>
      <xdr:row>26</xdr:row>
      <xdr:rowOff>52670</xdr:rowOff>
    </xdr:to>
    <xdr:pic>
      <xdr:nvPicPr>
        <xdr:cNvPr id="53" name="object 91">
          <a:extLst>
            <a:ext uri="{FF2B5EF4-FFF2-40B4-BE49-F238E27FC236}">
              <a16:creationId xmlns:a16="http://schemas.microsoft.com/office/drawing/2014/main" id="{763D09FA-134F-45E9-9B8F-C3211120259B}"/>
            </a:ext>
          </a:extLst>
        </xdr:cNvPr>
        <xdr:cNvPicPr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054980" y="4334933"/>
          <a:ext cx="680253" cy="560670"/>
        </a:xfrm>
        <a:prstGeom prst="rect">
          <a:avLst/>
        </a:prstGeom>
      </xdr:spPr>
    </xdr:pic>
    <xdr:clientData/>
  </xdr:twoCellAnchor>
  <xdr:twoCellAnchor editAs="oneCell">
    <xdr:from>
      <xdr:col>0</xdr:col>
      <xdr:colOff>32905</xdr:colOff>
      <xdr:row>0</xdr:row>
      <xdr:rowOff>95781</xdr:rowOff>
    </xdr:from>
    <xdr:to>
      <xdr:col>4</xdr:col>
      <xdr:colOff>355471</xdr:colOff>
      <xdr:row>6</xdr:row>
      <xdr:rowOff>42927</xdr:rowOff>
    </xdr:to>
    <xdr:pic>
      <xdr:nvPicPr>
        <xdr:cNvPr id="54" name="object 92">
          <a:extLst>
            <a:ext uri="{FF2B5EF4-FFF2-40B4-BE49-F238E27FC236}">
              <a16:creationId xmlns:a16="http://schemas.microsoft.com/office/drawing/2014/main" id="{1F28B042-E49E-4997-91E8-246BA8E46215}"/>
            </a:ext>
          </a:extLst>
        </xdr:cNvPr>
        <xdr:cNvPicPr/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32905" y="95781"/>
          <a:ext cx="3370566" cy="1090146"/>
        </a:xfrm>
        <a:prstGeom prst="rect">
          <a:avLst/>
        </a:prstGeom>
      </xdr:spPr>
    </xdr:pic>
    <xdr:clientData/>
  </xdr:twoCellAnchor>
  <xdr:twoCellAnchor>
    <xdr:from>
      <xdr:col>5</xdr:col>
      <xdr:colOff>649880</xdr:colOff>
      <xdr:row>10</xdr:row>
      <xdr:rowOff>89533</xdr:rowOff>
    </xdr:from>
    <xdr:to>
      <xdr:col>8</xdr:col>
      <xdr:colOff>451760</xdr:colOff>
      <xdr:row>12</xdr:row>
      <xdr:rowOff>86993</xdr:rowOff>
    </xdr:to>
    <xdr:sp macro="" textlink="">
      <xdr:nvSpPr>
        <xdr:cNvPr id="55" name="object 93">
          <a:extLst>
            <a:ext uri="{FF2B5EF4-FFF2-40B4-BE49-F238E27FC236}">
              <a16:creationId xmlns:a16="http://schemas.microsoft.com/office/drawing/2014/main" id="{C96EB751-D1C5-4869-BE29-7D0FCE72CF8D}"/>
            </a:ext>
          </a:extLst>
        </xdr:cNvPr>
        <xdr:cNvSpPr txBox="1"/>
      </xdr:nvSpPr>
      <xdr:spPr>
        <a:xfrm>
          <a:off x="4612280" y="1918333"/>
          <a:ext cx="2179320" cy="363220"/>
        </a:xfrm>
        <a:prstGeom prst="rect">
          <a:avLst/>
        </a:prstGeom>
      </xdr:spPr>
      <xdr:txBody>
        <a:bodyPr vert="horz" wrap="square" lIns="0" tIns="11430" rIns="0" bIns="0" rtlCol="0">
          <a:sp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R="5080">
            <a:lnSpc>
              <a:spcPct val="115700"/>
            </a:lnSpc>
            <a:spcBef>
              <a:spcPts val="90"/>
            </a:spcBef>
          </a:pPr>
          <a:r>
            <a:rPr sz="1000" b="1" spc="-45">
              <a:solidFill>
                <a:srgbClr val="2E463A"/>
              </a:solidFill>
              <a:latin typeface="Trebuchet MS"/>
              <a:cs typeface="Trebuchet MS"/>
            </a:rPr>
            <a:t>¡Gracias</a:t>
          </a:r>
          <a:r>
            <a:rPr sz="1000" b="1" spc="-25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1000" b="1" spc="-45">
              <a:solidFill>
                <a:srgbClr val="2E463A"/>
              </a:solidFill>
              <a:latin typeface="Trebuchet MS"/>
              <a:cs typeface="Trebuchet MS"/>
            </a:rPr>
            <a:t>por</a:t>
          </a:r>
          <a:r>
            <a:rPr sz="1000" b="1" spc="-30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1000" b="1" spc="-55">
              <a:solidFill>
                <a:srgbClr val="2E463A"/>
              </a:solidFill>
              <a:latin typeface="Trebuchet MS"/>
              <a:cs typeface="Trebuchet MS"/>
            </a:rPr>
            <a:t>tomar</a:t>
          </a:r>
          <a:r>
            <a:rPr sz="1000" b="1" spc="-30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1000" b="1" spc="-50">
              <a:solidFill>
                <a:srgbClr val="2E463A"/>
              </a:solidFill>
              <a:latin typeface="Trebuchet MS"/>
              <a:cs typeface="Trebuchet MS"/>
            </a:rPr>
            <a:t>buenas</a:t>
          </a:r>
          <a:r>
            <a:rPr sz="1000" b="1" spc="-20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1000" b="1" spc="-45">
              <a:solidFill>
                <a:srgbClr val="2E463A"/>
              </a:solidFill>
              <a:latin typeface="Trebuchet MS"/>
              <a:cs typeface="Trebuchet MS"/>
            </a:rPr>
            <a:t>decisiones! </a:t>
          </a:r>
          <a:r>
            <a:rPr sz="1000" b="1" spc="-290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1000" b="1" spc="-55">
              <a:solidFill>
                <a:srgbClr val="2E463A"/>
              </a:solidFill>
              <a:latin typeface="Trebuchet MS"/>
              <a:cs typeface="Trebuchet MS"/>
            </a:rPr>
            <a:t>E</a:t>
          </a:r>
          <a:r>
            <a:rPr sz="1000" b="1" spc="-40">
              <a:solidFill>
                <a:srgbClr val="2E463A"/>
              </a:solidFill>
              <a:latin typeface="Trebuchet MS"/>
              <a:cs typeface="Trebuchet MS"/>
            </a:rPr>
            <a:t>sto</a:t>
          </a:r>
          <a:r>
            <a:rPr sz="1000" b="1" spc="-30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1000" b="1" spc="-45">
              <a:solidFill>
                <a:srgbClr val="2E463A"/>
              </a:solidFill>
              <a:latin typeface="Trebuchet MS"/>
              <a:cs typeface="Trebuchet MS"/>
            </a:rPr>
            <a:t>se</a:t>
          </a:r>
          <a:r>
            <a:rPr sz="1000" b="1" spc="-25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1000" b="1" spc="-40">
              <a:solidFill>
                <a:srgbClr val="2E463A"/>
              </a:solidFill>
              <a:latin typeface="Trebuchet MS"/>
              <a:cs typeface="Trebuchet MS"/>
            </a:rPr>
            <a:t>refl</a:t>
          </a:r>
          <a:r>
            <a:rPr sz="1000" b="1" spc="-45">
              <a:solidFill>
                <a:srgbClr val="2E463A"/>
              </a:solidFill>
              <a:latin typeface="Trebuchet MS"/>
              <a:cs typeface="Trebuchet MS"/>
            </a:rPr>
            <a:t>eja</a:t>
          </a:r>
          <a:r>
            <a:rPr sz="1000" b="1" spc="-25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1000" b="1" spc="-50">
              <a:solidFill>
                <a:srgbClr val="2E463A"/>
              </a:solidFill>
              <a:latin typeface="Trebuchet MS"/>
              <a:cs typeface="Trebuchet MS"/>
            </a:rPr>
            <a:t>en</a:t>
          </a:r>
          <a:r>
            <a:rPr sz="1000" b="1" spc="-25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1000" b="1" spc="-40">
              <a:solidFill>
                <a:srgbClr val="2E463A"/>
              </a:solidFill>
              <a:latin typeface="Trebuchet MS"/>
              <a:cs typeface="Trebuchet MS"/>
            </a:rPr>
            <a:t>t</a:t>
          </a:r>
          <a:r>
            <a:rPr sz="1000" b="1" spc="-50">
              <a:solidFill>
                <a:srgbClr val="2E463A"/>
              </a:solidFill>
              <a:latin typeface="Trebuchet MS"/>
              <a:cs typeface="Trebuchet MS"/>
            </a:rPr>
            <a:t>u</a:t>
          </a:r>
          <a:r>
            <a:rPr sz="1000" b="1" spc="-30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1000" b="1" spc="-50">
              <a:solidFill>
                <a:srgbClr val="2E463A"/>
              </a:solidFill>
              <a:latin typeface="Trebuchet MS"/>
              <a:cs typeface="Trebuchet MS"/>
            </a:rPr>
            <a:t>ahor</a:t>
          </a:r>
          <a:r>
            <a:rPr sz="1000" b="1" spc="-45">
              <a:solidFill>
                <a:srgbClr val="2E463A"/>
              </a:solidFill>
              <a:latin typeface="Trebuchet MS"/>
              <a:cs typeface="Trebuchet MS"/>
            </a:rPr>
            <a:t>r</a:t>
          </a:r>
          <a:r>
            <a:rPr sz="1000" b="1" spc="-40">
              <a:solidFill>
                <a:srgbClr val="2E463A"/>
              </a:solidFill>
              <a:latin typeface="Trebuchet MS"/>
              <a:cs typeface="Trebuchet MS"/>
            </a:rPr>
            <a:t>o.</a:t>
          </a:r>
          <a:endParaRPr sz="1000">
            <a:latin typeface="Trebuchet MS"/>
            <a:cs typeface="Trebuchet MS"/>
          </a:endParaRPr>
        </a:p>
      </xdr:txBody>
    </xdr:sp>
    <xdr:clientData/>
  </xdr:twoCellAnchor>
  <xdr:twoCellAnchor>
    <xdr:from>
      <xdr:col>5</xdr:col>
      <xdr:colOff>129960</xdr:colOff>
      <xdr:row>22</xdr:row>
      <xdr:rowOff>181721</xdr:rowOff>
    </xdr:from>
    <xdr:to>
      <xdr:col>7</xdr:col>
      <xdr:colOff>606210</xdr:colOff>
      <xdr:row>26</xdr:row>
      <xdr:rowOff>125841</xdr:rowOff>
    </xdr:to>
    <xdr:sp macro="" textlink="">
      <xdr:nvSpPr>
        <xdr:cNvPr id="56" name="object 94">
          <a:extLst>
            <a:ext uri="{FF2B5EF4-FFF2-40B4-BE49-F238E27FC236}">
              <a16:creationId xmlns:a16="http://schemas.microsoft.com/office/drawing/2014/main" id="{CF08F48B-3A1F-4A9E-82BB-A8D230F12BF0}"/>
            </a:ext>
          </a:extLst>
        </xdr:cNvPr>
        <xdr:cNvSpPr txBox="1"/>
      </xdr:nvSpPr>
      <xdr:spPr>
        <a:xfrm>
          <a:off x="3939960" y="4372721"/>
          <a:ext cx="2000250" cy="706120"/>
        </a:xfrm>
        <a:prstGeom prst="rect">
          <a:avLst/>
        </a:prstGeom>
      </xdr:spPr>
      <xdr:txBody>
        <a:bodyPr vert="horz" wrap="square" lIns="0" tIns="30480" rIns="0" bIns="0" rtlCol="0">
          <a:sp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>
            <a:lnSpc>
              <a:spcPct val="100000"/>
            </a:lnSpc>
            <a:spcBef>
              <a:spcPts val="240"/>
            </a:spcBef>
          </a:pPr>
          <a:r>
            <a:rPr sz="1000" b="1" spc="-15">
              <a:solidFill>
                <a:srgbClr val="2E463A"/>
              </a:solidFill>
              <a:latin typeface="Trebuchet MS"/>
              <a:cs typeface="Trebuchet MS"/>
            </a:rPr>
            <a:t>¡Y</a:t>
          </a:r>
          <a:r>
            <a:rPr sz="1000" b="1" spc="-30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1000" b="1" spc="-15">
              <a:solidFill>
                <a:srgbClr val="2E463A"/>
              </a:solidFill>
              <a:latin typeface="Trebuchet MS"/>
              <a:cs typeface="Trebuchet MS"/>
            </a:rPr>
            <a:t>eso</a:t>
          </a:r>
          <a:r>
            <a:rPr sz="1000" b="1" spc="-25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1000" b="1" spc="-20">
              <a:solidFill>
                <a:srgbClr val="2E463A"/>
              </a:solidFill>
              <a:latin typeface="Trebuchet MS"/>
              <a:cs typeface="Trebuchet MS"/>
            </a:rPr>
            <a:t>no</a:t>
          </a:r>
          <a:r>
            <a:rPr sz="1000" b="1" spc="-25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1000" b="1" spc="-15">
              <a:solidFill>
                <a:srgbClr val="2E463A"/>
              </a:solidFill>
              <a:latin typeface="Trebuchet MS"/>
              <a:cs typeface="Trebuchet MS"/>
            </a:rPr>
            <a:t>es</a:t>
          </a:r>
          <a:r>
            <a:rPr sz="1000" b="1" spc="-25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1000" b="1" spc="-20">
              <a:solidFill>
                <a:srgbClr val="2E463A"/>
              </a:solidFill>
              <a:latin typeface="Trebuchet MS"/>
              <a:cs typeface="Trebuchet MS"/>
            </a:rPr>
            <a:t>todo!</a:t>
          </a:r>
          <a:endParaRPr sz="1000">
            <a:latin typeface="Trebuchet MS"/>
            <a:cs typeface="Trebuchet MS"/>
          </a:endParaRPr>
        </a:p>
        <a:p>
          <a:pPr marR="5080">
            <a:lnSpc>
              <a:spcPct val="111600"/>
            </a:lnSpc>
          </a:pPr>
          <a:r>
            <a:rPr sz="1000" b="1" spc="-20">
              <a:solidFill>
                <a:srgbClr val="2E463A"/>
              </a:solidFill>
              <a:latin typeface="Trebuchet MS"/>
              <a:cs typeface="Trebuchet MS"/>
            </a:rPr>
            <a:t>Con</a:t>
          </a:r>
          <a:r>
            <a:rPr sz="1000" b="1" spc="-25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1000" b="1" spc="-15">
              <a:solidFill>
                <a:srgbClr val="2E463A"/>
              </a:solidFill>
              <a:latin typeface="Trebuchet MS"/>
              <a:cs typeface="Trebuchet MS"/>
            </a:rPr>
            <a:t>esta </a:t>
          </a:r>
          <a:r>
            <a:rPr sz="1000" b="1" spc="-20">
              <a:solidFill>
                <a:srgbClr val="2E463A"/>
              </a:solidFill>
              <a:latin typeface="Trebuchet MS"/>
              <a:cs typeface="Trebuchet MS"/>
            </a:rPr>
            <a:t>energía</a:t>
          </a:r>
          <a:r>
            <a:rPr sz="1000" b="1" spc="-15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1000" b="1" spc="-20">
              <a:solidFill>
                <a:srgbClr val="2E463A"/>
              </a:solidFill>
              <a:latin typeface="Trebuchet MS"/>
              <a:cs typeface="Trebuchet MS"/>
            </a:rPr>
            <a:t>amigable</a:t>
          </a:r>
          <a:r>
            <a:rPr sz="1000" b="1" spc="-15">
              <a:solidFill>
                <a:srgbClr val="2E463A"/>
              </a:solidFill>
              <a:latin typeface="Trebuchet MS"/>
              <a:cs typeface="Trebuchet MS"/>
            </a:rPr>
            <a:t> ahorras </a:t>
          </a:r>
          <a:r>
            <a:rPr sz="1000" b="1" spc="-285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1000" b="1" spc="-15">
              <a:solidFill>
                <a:srgbClr val="2E463A"/>
              </a:solidFill>
              <a:latin typeface="Trebuchet MS"/>
              <a:cs typeface="Trebuchet MS"/>
            </a:rPr>
            <a:t>y</a:t>
          </a:r>
          <a:r>
            <a:rPr sz="1000" b="1" spc="-5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1000" b="1" spc="-15">
              <a:solidFill>
                <a:srgbClr val="2E463A"/>
              </a:solidFill>
              <a:latin typeface="Trebuchet MS"/>
              <a:cs typeface="Trebuchet MS"/>
            </a:rPr>
            <a:t>haces</a:t>
          </a:r>
          <a:r>
            <a:rPr sz="1000" b="1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1000" b="1" spc="-15">
              <a:solidFill>
                <a:srgbClr val="2E463A"/>
              </a:solidFill>
              <a:latin typeface="Trebuchet MS"/>
              <a:cs typeface="Trebuchet MS"/>
            </a:rPr>
            <a:t>parte</a:t>
          </a:r>
          <a:r>
            <a:rPr sz="1000" b="1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1000" b="1" spc="-20">
              <a:solidFill>
                <a:srgbClr val="2E463A"/>
              </a:solidFill>
              <a:latin typeface="Trebuchet MS"/>
              <a:cs typeface="Trebuchet MS"/>
            </a:rPr>
            <a:t>de</a:t>
          </a:r>
          <a:r>
            <a:rPr sz="1000" b="1" spc="-5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1000" b="1" spc="-15">
              <a:solidFill>
                <a:srgbClr val="2E463A"/>
              </a:solidFill>
              <a:latin typeface="Trebuchet MS"/>
              <a:cs typeface="Trebuchet MS"/>
            </a:rPr>
            <a:t>la</a:t>
          </a:r>
          <a:r>
            <a:rPr sz="1000" b="1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1000" b="1" spc="-20">
              <a:solidFill>
                <a:srgbClr val="2E463A"/>
              </a:solidFill>
              <a:latin typeface="Trebuchet MS"/>
              <a:cs typeface="Trebuchet MS"/>
            </a:rPr>
            <a:t>nueva</a:t>
          </a:r>
          <a:r>
            <a:rPr sz="1000" b="1" spc="-5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1000" b="1" spc="-15">
              <a:solidFill>
                <a:srgbClr val="2E463A"/>
              </a:solidFill>
              <a:latin typeface="Trebuchet MS"/>
              <a:cs typeface="Trebuchet MS"/>
            </a:rPr>
            <a:t>era</a:t>
          </a:r>
          <a:r>
            <a:rPr sz="1000" b="1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1000" b="1" spc="-20">
              <a:solidFill>
                <a:srgbClr val="2E463A"/>
              </a:solidFill>
              <a:latin typeface="Trebuchet MS"/>
              <a:cs typeface="Trebuchet MS"/>
            </a:rPr>
            <a:t>de </a:t>
          </a:r>
          <a:r>
            <a:rPr sz="1000" b="1" spc="-15">
              <a:solidFill>
                <a:srgbClr val="2E463A"/>
              </a:solidFill>
              <a:latin typeface="Trebuchet MS"/>
              <a:cs typeface="Trebuchet MS"/>
            </a:rPr>
            <a:t> la</a:t>
          </a:r>
          <a:r>
            <a:rPr sz="1000" b="1" spc="-20">
              <a:solidFill>
                <a:srgbClr val="2E463A"/>
              </a:solidFill>
              <a:latin typeface="Trebuchet MS"/>
              <a:cs typeface="Trebuchet MS"/>
            </a:rPr>
            <a:t> sostenibilidad.</a:t>
          </a:r>
          <a:endParaRPr sz="1000">
            <a:latin typeface="Trebuchet MS"/>
            <a:cs typeface="Trebuchet MS"/>
          </a:endParaRPr>
        </a:p>
      </xdr:txBody>
    </xdr:sp>
    <xdr:clientData/>
  </xdr:twoCellAnchor>
  <xdr:twoCellAnchor editAs="oneCell">
    <xdr:from>
      <xdr:col>7</xdr:col>
      <xdr:colOff>707897</xdr:colOff>
      <xdr:row>3</xdr:row>
      <xdr:rowOff>36284</xdr:rowOff>
    </xdr:from>
    <xdr:to>
      <xdr:col>8</xdr:col>
      <xdr:colOff>576746</xdr:colOff>
      <xdr:row>6</xdr:row>
      <xdr:rowOff>80100</xdr:rowOff>
    </xdr:to>
    <xdr:pic>
      <xdr:nvPicPr>
        <xdr:cNvPr id="57" name="Imagen 56">
          <a:extLst>
            <a:ext uri="{FF2B5EF4-FFF2-40B4-BE49-F238E27FC236}">
              <a16:creationId xmlns:a16="http://schemas.microsoft.com/office/drawing/2014/main" id="{1F61B4E5-B343-427E-96EA-5BD72C9D7D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5257" y="584924"/>
          <a:ext cx="661329" cy="592456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15</xdr:row>
      <xdr:rowOff>155941</xdr:rowOff>
    </xdr:from>
    <xdr:to>
      <xdr:col>4</xdr:col>
      <xdr:colOff>476249</xdr:colOff>
      <xdr:row>24</xdr:row>
      <xdr:rowOff>185707</xdr:rowOff>
    </xdr:to>
    <xdr:graphicFrame macro="">
      <xdr:nvGraphicFramePr>
        <xdr:cNvPr id="58" name="Gráfico 1">
          <a:extLst>
            <a:ext uri="{FF2B5EF4-FFF2-40B4-BE49-F238E27FC236}">
              <a16:creationId xmlns:a16="http://schemas.microsoft.com/office/drawing/2014/main" id="{346B1E57-F710-4A7A-8F66-4F6507B39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153865</xdr:colOff>
      <xdr:row>8</xdr:row>
      <xdr:rowOff>21640</xdr:rowOff>
    </xdr:from>
    <xdr:to>
      <xdr:col>6</xdr:col>
      <xdr:colOff>659422</xdr:colOff>
      <xdr:row>9</xdr:row>
      <xdr:rowOff>24590</xdr:rowOff>
    </xdr:to>
    <xdr:sp macro="" textlink="">
      <xdr:nvSpPr>
        <xdr:cNvPr id="59" name="object 49">
          <a:extLst>
            <a:ext uri="{FF2B5EF4-FFF2-40B4-BE49-F238E27FC236}">
              <a16:creationId xmlns:a16="http://schemas.microsoft.com/office/drawing/2014/main" id="{2A5681BA-5FDC-4BB0-9032-EECC5CEC9057}"/>
            </a:ext>
          </a:extLst>
        </xdr:cNvPr>
        <xdr:cNvSpPr txBox="1"/>
      </xdr:nvSpPr>
      <xdr:spPr>
        <a:xfrm>
          <a:off x="3963865" y="1545640"/>
          <a:ext cx="1267557" cy="193450"/>
        </a:xfrm>
        <a:prstGeom prst="rect">
          <a:avLst/>
        </a:prstGeom>
      </xdr:spPr>
      <xdr:txBody>
        <a:bodyPr vert="horz" wrap="square" lIns="0" tIns="14604" rIns="0" bIns="0" rtlCol="0">
          <a:sp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>
            <a:lnSpc>
              <a:spcPct val="100000"/>
            </a:lnSpc>
            <a:spcBef>
              <a:spcPts val="114"/>
            </a:spcBef>
          </a:pPr>
          <a:r>
            <a:rPr lang="es-CO" sz="1200" b="1" spc="-70">
              <a:solidFill>
                <a:srgbClr val="22362C"/>
              </a:solidFill>
              <a:latin typeface="Trebuchet MS"/>
              <a:cs typeface="Trebuchet MS"/>
            </a:rPr>
            <a:t> </a:t>
          </a:r>
          <a:endParaRPr sz="1200">
            <a:latin typeface="Trebuchet MS"/>
            <a:cs typeface="Trebuchet MS"/>
          </a:endParaRPr>
        </a:p>
      </xdr:txBody>
    </xdr:sp>
    <xdr:clientData/>
  </xdr:twoCellAnchor>
  <xdr:twoCellAnchor>
    <xdr:from>
      <xdr:col>4</xdr:col>
      <xdr:colOff>661768</xdr:colOff>
      <xdr:row>13</xdr:row>
      <xdr:rowOff>22860</xdr:rowOff>
    </xdr:from>
    <xdr:to>
      <xdr:col>8</xdr:col>
      <xdr:colOff>710712</xdr:colOff>
      <xdr:row>23</xdr:row>
      <xdr:rowOff>38099</xdr:rowOff>
    </xdr:to>
    <xdr:graphicFrame macro="">
      <xdr:nvGraphicFramePr>
        <xdr:cNvPr id="60" name="Gráfico 6">
          <a:extLst>
            <a:ext uri="{FF2B5EF4-FFF2-40B4-BE49-F238E27FC236}">
              <a16:creationId xmlns:a16="http://schemas.microsoft.com/office/drawing/2014/main" id="{AF78D8A5-6F46-4EAE-8745-A4A87102F1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0</xdr:col>
      <xdr:colOff>73270</xdr:colOff>
      <xdr:row>29</xdr:row>
      <xdr:rowOff>78213</xdr:rowOff>
    </xdr:from>
    <xdr:to>
      <xdr:col>4</xdr:col>
      <xdr:colOff>388327</xdr:colOff>
      <xdr:row>30</xdr:row>
      <xdr:rowOff>4575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97A10C4F-DAD8-472E-8E51-5891ABD79B5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"/>
        <a:srcRect t="7742"/>
        <a:stretch/>
      </xdr:blipFill>
      <xdr:spPr>
        <a:xfrm>
          <a:off x="73270" y="5602713"/>
          <a:ext cx="3363057" cy="116862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30</xdr:row>
      <xdr:rowOff>12913</xdr:rowOff>
    </xdr:from>
    <xdr:to>
      <xdr:col>1</xdr:col>
      <xdr:colOff>173831</xdr:colOff>
      <xdr:row>30</xdr:row>
      <xdr:rowOff>122451</xdr:rowOff>
    </xdr:to>
    <xdr:sp macro="" textlink="$O$25">
      <xdr:nvSpPr>
        <xdr:cNvPr id="16" name="CuadroTexto 15">
          <a:extLst>
            <a:ext uri="{FF2B5EF4-FFF2-40B4-BE49-F238E27FC236}">
              <a16:creationId xmlns:a16="http://schemas.microsoft.com/office/drawing/2014/main" id="{CDEAB8CE-A56F-4D88-A38B-7B3D110802B9}"/>
            </a:ext>
          </a:extLst>
        </xdr:cNvPr>
        <xdr:cNvSpPr txBox="1"/>
      </xdr:nvSpPr>
      <xdr:spPr>
        <a:xfrm>
          <a:off x="0" y="5727913"/>
          <a:ext cx="935831" cy="10953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3DD3C75-D70B-4A66-AD4C-F73E57C393F9}" type="TxLink">
            <a:rPr lang="en-US" sz="600" b="0" i="0" u="none" strike="noStrike" kern="1200" spc="5">
              <a:solidFill>
                <a:srgbClr val="000000"/>
              </a:solidFill>
              <a:latin typeface="Trebuchet MS"/>
              <a:ea typeface="+mn-ea"/>
              <a:cs typeface="Trebuchet MS"/>
            </a:rPr>
            <a:pPr algn="ctr"/>
            <a:t>Consumo =TEXTO(O53;"mmmm")</a:t>
          </a:fld>
          <a:endParaRPr lang="es-CO" sz="600" kern="1200" spc="5">
            <a:solidFill>
              <a:srgbClr val="22362C"/>
            </a:solidFill>
            <a:latin typeface="Trebuchet MS"/>
            <a:ea typeface="+mn-ea"/>
            <a:cs typeface="Trebuchet MS"/>
          </a:endParaRPr>
        </a:p>
      </xdr:txBody>
    </xdr:sp>
    <xdr:clientData/>
  </xdr:twoCellAnchor>
  <xdr:twoCellAnchor>
    <xdr:from>
      <xdr:col>1</xdr:col>
      <xdr:colOff>131885</xdr:colOff>
      <xdr:row>30</xdr:row>
      <xdr:rowOff>12913</xdr:rowOff>
    </xdr:from>
    <xdr:to>
      <xdr:col>2</xdr:col>
      <xdr:colOff>359019</xdr:colOff>
      <xdr:row>30</xdr:row>
      <xdr:rowOff>131885</xdr:rowOff>
    </xdr:to>
    <xdr:sp macro="" textlink="$O$26">
      <xdr:nvSpPr>
        <xdr:cNvPr id="77" name="CuadroTexto 76">
          <a:extLst>
            <a:ext uri="{FF2B5EF4-FFF2-40B4-BE49-F238E27FC236}">
              <a16:creationId xmlns:a16="http://schemas.microsoft.com/office/drawing/2014/main" id="{94A498DD-6A57-42AC-9E22-18F5331191EF}"/>
            </a:ext>
          </a:extLst>
        </xdr:cNvPr>
        <xdr:cNvSpPr txBox="1"/>
      </xdr:nvSpPr>
      <xdr:spPr>
        <a:xfrm>
          <a:off x="893885" y="5727913"/>
          <a:ext cx="989134" cy="11897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30070BB-3660-46C8-B557-F343661A905E}" type="TxLink">
            <a:rPr lang="en-US" sz="600" b="0" i="0" u="none" strike="noStrike" kern="1200" spc="5">
              <a:solidFill>
                <a:srgbClr val="000000"/>
              </a:solidFill>
              <a:latin typeface="Trebuchet MS"/>
              <a:ea typeface="+mn-ea"/>
              <a:cs typeface="Trebuchet MS"/>
            </a:rPr>
            <a:pPr algn="ctr"/>
            <a:t>16.218,10</a:t>
          </a:fld>
          <a:endParaRPr lang="es-CO" sz="600" kern="1200" spc="5">
            <a:solidFill>
              <a:srgbClr val="22362C"/>
            </a:solidFill>
            <a:latin typeface="Trebuchet MS"/>
            <a:ea typeface="+mn-ea"/>
            <a:cs typeface="Trebuchet MS"/>
          </a:endParaRPr>
        </a:p>
      </xdr:txBody>
    </xdr:sp>
    <xdr:clientData/>
  </xdr:twoCellAnchor>
  <xdr:twoCellAnchor>
    <xdr:from>
      <xdr:col>2</xdr:col>
      <xdr:colOff>402981</xdr:colOff>
      <xdr:row>30</xdr:row>
      <xdr:rowOff>12912</xdr:rowOff>
    </xdr:from>
    <xdr:to>
      <xdr:col>3</xdr:col>
      <xdr:colOff>512885</xdr:colOff>
      <xdr:row>30</xdr:row>
      <xdr:rowOff>139212</xdr:rowOff>
    </xdr:to>
    <xdr:sp macro="" textlink="$O$27">
      <xdr:nvSpPr>
        <xdr:cNvPr id="78" name="CuadroTexto 77">
          <a:extLst>
            <a:ext uri="{FF2B5EF4-FFF2-40B4-BE49-F238E27FC236}">
              <a16:creationId xmlns:a16="http://schemas.microsoft.com/office/drawing/2014/main" id="{F12D6E54-0AB1-40A6-9036-FFCB12B8317D}"/>
            </a:ext>
          </a:extLst>
        </xdr:cNvPr>
        <xdr:cNvSpPr txBox="1"/>
      </xdr:nvSpPr>
      <xdr:spPr>
        <a:xfrm>
          <a:off x="1926981" y="5727912"/>
          <a:ext cx="871904" cy="126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ACD6080-4829-405B-A8B5-2728EC6C285C}" type="TxLink">
            <a:rPr lang="en-US" sz="600" b="0" i="0" u="none" strike="noStrike" kern="1200" spc="5">
              <a:solidFill>
                <a:srgbClr val="000000"/>
              </a:solidFill>
              <a:latin typeface="Trebuchet MS"/>
              <a:ea typeface="+mn-ea"/>
              <a:cs typeface="Trebuchet MS"/>
            </a:rPr>
            <a:pPr algn="ctr"/>
            <a:t>458,36</a:t>
          </a:fld>
          <a:endParaRPr lang="es-CO" sz="600" kern="1200" spc="5">
            <a:solidFill>
              <a:srgbClr val="22362C"/>
            </a:solidFill>
            <a:latin typeface="Trebuchet MS"/>
            <a:ea typeface="+mn-ea"/>
            <a:cs typeface="Trebuchet MS"/>
          </a:endParaRPr>
        </a:p>
      </xdr:txBody>
    </xdr:sp>
    <xdr:clientData/>
  </xdr:twoCellAnchor>
  <xdr:twoCellAnchor>
    <xdr:from>
      <xdr:col>3</xdr:col>
      <xdr:colOff>337039</xdr:colOff>
      <xdr:row>30</xdr:row>
      <xdr:rowOff>43960</xdr:rowOff>
    </xdr:from>
    <xdr:to>
      <xdr:col>4</xdr:col>
      <xdr:colOff>454271</xdr:colOff>
      <xdr:row>30</xdr:row>
      <xdr:rowOff>124558</xdr:rowOff>
    </xdr:to>
    <xdr:sp macro="" textlink="$O$28">
      <xdr:nvSpPr>
        <xdr:cNvPr id="79" name="CuadroTexto 78">
          <a:extLst>
            <a:ext uri="{FF2B5EF4-FFF2-40B4-BE49-F238E27FC236}">
              <a16:creationId xmlns:a16="http://schemas.microsoft.com/office/drawing/2014/main" id="{A2BDE27E-2AA5-4A19-AA69-C8973EED2D02}"/>
            </a:ext>
          </a:extLst>
        </xdr:cNvPr>
        <xdr:cNvSpPr txBox="1"/>
      </xdr:nvSpPr>
      <xdr:spPr>
        <a:xfrm>
          <a:off x="2623039" y="5758960"/>
          <a:ext cx="879232" cy="8059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BA3D8590-F9C3-4756-9BC9-308944568410}" type="TxLink">
            <a:rPr lang="en-US" sz="600" b="1" i="0" u="none" strike="noStrike" kern="1200" spc="5">
              <a:solidFill>
                <a:srgbClr val="000000"/>
              </a:solidFill>
              <a:latin typeface="Trebuchet MS"/>
              <a:ea typeface="+mn-ea"/>
              <a:cs typeface="Trebuchet MS"/>
            </a:rPr>
            <a:pPr algn="r"/>
            <a:t>$ 7.433.728,41</a:t>
          </a:fld>
          <a:endParaRPr lang="es-CO" sz="600" b="1" kern="1200" spc="5">
            <a:solidFill>
              <a:srgbClr val="22362C"/>
            </a:solidFill>
            <a:latin typeface="Trebuchet MS"/>
            <a:ea typeface="+mn-ea"/>
            <a:cs typeface="Trebuchet MS"/>
          </a:endParaRPr>
        </a:p>
      </xdr:txBody>
    </xdr:sp>
    <xdr:clientData/>
  </xdr:twoCellAnchor>
  <xdr:twoCellAnchor>
    <xdr:from>
      <xdr:col>0</xdr:col>
      <xdr:colOff>0</xdr:colOff>
      <xdr:row>30</xdr:row>
      <xdr:rowOff>147130</xdr:rowOff>
    </xdr:from>
    <xdr:to>
      <xdr:col>1</xdr:col>
      <xdr:colOff>173831</xdr:colOff>
      <xdr:row>31</xdr:row>
      <xdr:rowOff>66168</xdr:rowOff>
    </xdr:to>
    <xdr:sp macro="" textlink="$O$29">
      <xdr:nvSpPr>
        <xdr:cNvPr id="84" name="CuadroTexto 83">
          <a:extLst>
            <a:ext uri="{FF2B5EF4-FFF2-40B4-BE49-F238E27FC236}">
              <a16:creationId xmlns:a16="http://schemas.microsoft.com/office/drawing/2014/main" id="{793746C2-9C88-411C-8B15-4F563EDAADAF}"/>
            </a:ext>
          </a:extLst>
        </xdr:cNvPr>
        <xdr:cNvSpPr txBox="1"/>
      </xdr:nvSpPr>
      <xdr:spPr>
        <a:xfrm>
          <a:off x="0" y="5862130"/>
          <a:ext cx="935831" cy="10953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6470DF7-6EEE-42D2-B293-DB4CD6D24EDD}" type="TxLink">
            <a:rPr lang="en-US" sz="600" b="0" i="0" u="none" strike="noStrike" kern="1200" spc="5">
              <a:solidFill>
                <a:srgbClr val="000000"/>
              </a:solidFill>
              <a:latin typeface="Trebuchet MS"/>
              <a:ea typeface="+mn-ea"/>
              <a:cs typeface="Trebuchet MS"/>
            </a:rPr>
            <a:pPr algn="ctr"/>
            <a:t>Exportación =TEXTO(O53;"mmmm")</a:t>
          </a:fld>
          <a:endParaRPr lang="es-CO" sz="600" kern="1200" spc="5">
            <a:solidFill>
              <a:srgbClr val="22362C"/>
            </a:solidFill>
            <a:latin typeface="Trebuchet MS"/>
            <a:ea typeface="+mn-ea"/>
            <a:cs typeface="Trebuchet MS"/>
          </a:endParaRPr>
        </a:p>
      </xdr:txBody>
    </xdr:sp>
    <xdr:clientData/>
  </xdr:twoCellAnchor>
  <xdr:twoCellAnchor>
    <xdr:from>
      <xdr:col>0</xdr:col>
      <xdr:colOff>80043</xdr:colOff>
      <xdr:row>31</xdr:row>
      <xdr:rowOff>86093</xdr:rowOff>
    </xdr:from>
    <xdr:to>
      <xdr:col>4</xdr:col>
      <xdr:colOff>381000</xdr:colOff>
      <xdr:row>31</xdr:row>
      <xdr:rowOff>87923</xdr:rowOff>
    </xdr:to>
    <xdr:cxnSp macro="">
      <xdr:nvCxnSpPr>
        <xdr:cNvPr id="88" name="Conector recto 87">
          <a:extLst>
            <a:ext uri="{FF2B5EF4-FFF2-40B4-BE49-F238E27FC236}">
              <a16:creationId xmlns:a16="http://schemas.microsoft.com/office/drawing/2014/main" id="{0ABAC5A5-6F08-45A1-A129-8419E3124D83}"/>
            </a:ext>
          </a:extLst>
        </xdr:cNvPr>
        <xdr:cNvCxnSpPr/>
      </xdr:nvCxnSpPr>
      <xdr:spPr>
        <a:xfrm>
          <a:off x="80043" y="5991593"/>
          <a:ext cx="3348957" cy="183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124558</xdr:colOff>
      <xdr:row>29</xdr:row>
      <xdr:rowOff>95250</xdr:rowOff>
    </xdr:from>
    <xdr:to>
      <xdr:col>1</xdr:col>
      <xdr:colOff>124560</xdr:colOff>
      <xdr:row>31</xdr:row>
      <xdr:rowOff>87923</xdr:rowOff>
    </xdr:to>
    <xdr:cxnSp macro="">
      <xdr:nvCxnSpPr>
        <xdr:cNvPr id="71" name="Conector recto 70">
          <a:extLst>
            <a:ext uri="{FF2B5EF4-FFF2-40B4-BE49-F238E27FC236}">
              <a16:creationId xmlns:a16="http://schemas.microsoft.com/office/drawing/2014/main" id="{502FC2CC-64DA-4F03-8E34-73C5EDA0EC65}"/>
            </a:ext>
          </a:extLst>
        </xdr:cNvPr>
        <xdr:cNvCxnSpPr/>
      </xdr:nvCxnSpPr>
      <xdr:spPr>
        <a:xfrm flipH="1">
          <a:off x="886558" y="5619750"/>
          <a:ext cx="2" cy="373673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73269</xdr:colOff>
      <xdr:row>29</xdr:row>
      <xdr:rowOff>81355</xdr:rowOff>
    </xdr:from>
    <xdr:to>
      <xdr:col>4</xdr:col>
      <xdr:colOff>381367</xdr:colOff>
      <xdr:row>32</xdr:row>
      <xdr:rowOff>14654</xdr:rowOff>
    </xdr:to>
    <xdr:sp macro="" textlink="">
      <xdr:nvSpPr>
        <xdr:cNvPr id="8" name="Rectángulo 7">
          <a:extLst>
            <a:ext uri="{FF2B5EF4-FFF2-40B4-BE49-F238E27FC236}">
              <a16:creationId xmlns:a16="http://schemas.microsoft.com/office/drawing/2014/main" id="{CCD5DFF9-7D94-4A48-990C-9B1D92870CF7}"/>
            </a:ext>
          </a:extLst>
        </xdr:cNvPr>
        <xdr:cNvSpPr/>
      </xdr:nvSpPr>
      <xdr:spPr>
        <a:xfrm>
          <a:off x="73269" y="5605855"/>
          <a:ext cx="3356098" cy="504799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0</xdr:col>
      <xdr:colOff>0</xdr:colOff>
      <xdr:row>31</xdr:row>
      <xdr:rowOff>94809</xdr:rowOff>
    </xdr:from>
    <xdr:to>
      <xdr:col>1</xdr:col>
      <xdr:colOff>272371</xdr:colOff>
      <xdr:row>32</xdr:row>
      <xdr:rowOff>14653</xdr:rowOff>
    </xdr:to>
    <xdr:sp macro="" textlink="">
      <xdr:nvSpPr>
        <xdr:cNvPr id="138" name="CuadroTexto 137">
          <a:extLst>
            <a:ext uri="{FF2B5EF4-FFF2-40B4-BE49-F238E27FC236}">
              <a16:creationId xmlns:a16="http://schemas.microsoft.com/office/drawing/2014/main" id="{35781D3D-BD68-4035-BC1E-F5D982D0DEB5}"/>
            </a:ext>
          </a:extLst>
        </xdr:cNvPr>
        <xdr:cNvSpPr txBox="1"/>
      </xdr:nvSpPr>
      <xdr:spPr>
        <a:xfrm>
          <a:off x="0" y="6000309"/>
          <a:ext cx="1034371" cy="11034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CO" sz="600" b="1" kern="1200" spc="5">
              <a:solidFill>
                <a:srgbClr val="22362C"/>
              </a:solidFill>
              <a:latin typeface="Trebuchet MS"/>
              <a:ea typeface="+mn-ea"/>
              <a:cs typeface="Trebuchet MS"/>
            </a:rPr>
            <a:t>Valor total</a:t>
          </a:r>
          <a:r>
            <a:rPr lang="es-CO" sz="600" b="1" kern="1200" spc="5" baseline="0">
              <a:solidFill>
                <a:srgbClr val="22362C"/>
              </a:solidFill>
              <a:latin typeface="Trebuchet MS"/>
              <a:ea typeface="+mn-ea"/>
              <a:cs typeface="Trebuchet MS"/>
            </a:rPr>
            <a:t> a pagar</a:t>
          </a:r>
          <a:endParaRPr lang="es-CO" sz="600" b="1" kern="1200" spc="5">
            <a:solidFill>
              <a:srgbClr val="22362C"/>
            </a:solidFill>
            <a:latin typeface="Trebuchet MS"/>
            <a:ea typeface="+mn-ea"/>
            <a:cs typeface="Trebuchet MS"/>
          </a:endParaRPr>
        </a:p>
      </xdr:txBody>
    </xdr:sp>
    <xdr:clientData/>
  </xdr:twoCellAnchor>
  <xdr:twoCellAnchor>
    <xdr:from>
      <xdr:col>1</xdr:col>
      <xdr:colOff>733425</xdr:colOff>
      <xdr:row>8</xdr:row>
      <xdr:rowOff>142874</xdr:rowOff>
    </xdr:from>
    <xdr:to>
      <xdr:col>2</xdr:col>
      <xdr:colOff>552450</xdr:colOff>
      <xdr:row>9</xdr:row>
      <xdr:rowOff>95618</xdr:rowOff>
    </xdr:to>
    <xdr:sp macro="" textlink="$O$52">
      <xdr:nvSpPr>
        <xdr:cNvPr id="144" name="object 3">
          <a:extLst>
            <a:ext uri="{FF2B5EF4-FFF2-40B4-BE49-F238E27FC236}">
              <a16:creationId xmlns:a16="http://schemas.microsoft.com/office/drawing/2014/main" id="{DCB823F4-A8DD-44E4-99A1-4E881269B9AE}"/>
            </a:ext>
          </a:extLst>
        </xdr:cNvPr>
        <xdr:cNvSpPr txBox="1"/>
      </xdr:nvSpPr>
      <xdr:spPr>
        <a:xfrm>
          <a:off x="1495425" y="1666874"/>
          <a:ext cx="581025" cy="143244"/>
        </a:xfrm>
        <a:prstGeom prst="rect">
          <a:avLst/>
        </a:prstGeom>
      </xdr:spPr>
      <xdr:txBody>
        <a:bodyPr vert="horz" wrap="square" lIns="0" tIns="16510" rIns="0" bIns="0" rtlCol="0">
          <a:sp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12700">
            <a:lnSpc>
              <a:spcPct val="100000"/>
            </a:lnSpc>
            <a:spcBef>
              <a:spcPts val="130"/>
            </a:spcBef>
            <a:tabLst>
              <a:tab pos="1559560" algn="l"/>
            </a:tabLst>
          </a:pPr>
          <a:fld id="{F773A6D3-08DB-49AA-B1B6-7718B5DB6302}" type="TxLink">
            <a:rPr lang="en-US" sz="850" b="1" i="0" u="none" strike="noStrike">
              <a:solidFill>
                <a:srgbClr val="2E463A"/>
              </a:solidFill>
              <a:latin typeface="Trebuchet MS"/>
              <a:cs typeface="Trebuchet MS"/>
            </a:rPr>
            <a:pPr marL="12700">
              <a:lnSpc>
                <a:spcPct val="100000"/>
              </a:lnSpc>
              <a:spcBef>
                <a:spcPts val="130"/>
              </a:spcBef>
              <a:tabLst>
                <a:tab pos="1559560" algn="l"/>
              </a:tabLst>
            </a:pPr>
            <a:t>1/07/2023</a:t>
          </a:fld>
          <a:endParaRPr sz="850">
            <a:latin typeface="Trebuchet MS"/>
            <a:cs typeface="Trebuchet MS"/>
          </a:endParaRPr>
        </a:p>
      </xdr:txBody>
    </xdr:sp>
    <xdr:clientData/>
  </xdr:twoCellAnchor>
  <xdr:twoCellAnchor>
    <xdr:from>
      <xdr:col>2</xdr:col>
      <xdr:colOff>523876</xdr:colOff>
      <xdr:row>8</xdr:row>
      <xdr:rowOff>133350</xdr:rowOff>
    </xdr:from>
    <xdr:to>
      <xdr:col>2</xdr:col>
      <xdr:colOff>600076</xdr:colOff>
      <xdr:row>9</xdr:row>
      <xdr:rowOff>86094</xdr:rowOff>
    </xdr:to>
    <xdr:sp macro="" textlink="">
      <xdr:nvSpPr>
        <xdr:cNvPr id="145" name="object 3">
          <a:extLst>
            <a:ext uri="{FF2B5EF4-FFF2-40B4-BE49-F238E27FC236}">
              <a16:creationId xmlns:a16="http://schemas.microsoft.com/office/drawing/2014/main" id="{05FFC44A-5828-4B06-8505-1D4E0EE2A840}"/>
            </a:ext>
          </a:extLst>
        </xdr:cNvPr>
        <xdr:cNvSpPr txBox="1"/>
      </xdr:nvSpPr>
      <xdr:spPr>
        <a:xfrm>
          <a:off x="2047876" y="1657350"/>
          <a:ext cx="76200" cy="143244"/>
        </a:xfrm>
        <a:prstGeom prst="rect">
          <a:avLst/>
        </a:prstGeom>
      </xdr:spPr>
      <xdr:txBody>
        <a:bodyPr vert="horz" wrap="square" lIns="0" tIns="16510" rIns="0" bIns="0" rtlCol="0">
          <a:spAutoFit/>
        </a:bodyPr>
        <a:lstStyle/>
        <a:p>
          <a:pPr marL="12700">
            <a:lnSpc>
              <a:spcPct val="100000"/>
            </a:lnSpc>
            <a:spcBef>
              <a:spcPts val="130"/>
            </a:spcBef>
            <a:tabLst>
              <a:tab pos="1559560" algn="l"/>
            </a:tabLst>
          </a:pPr>
          <a:r>
            <a:rPr lang="en-US" sz="850" b="1" i="0" u="none" strike="noStrike">
              <a:solidFill>
                <a:srgbClr val="2E463A"/>
              </a:solidFill>
              <a:latin typeface="Trebuchet MS"/>
            </a:rPr>
            <a:t>-</a:t>
          </a:r>
        </a:p>
      </xdr:txBody>
    </xdr:sp>
    <xdr:clientData/>
  </xdr:twoCellAnchor>
  <xdr:twoCellAnchor>
    <xdr:from>
      <xdr:col>2</xdr:col>
      <xdr:colOff>600075</xdr:colOff>
      <xdr:row>8</xdr:row>
      <xdr:rowOff>142875</xdr:rowOff>
    </xdr:from>
    <xdr:to>
      <xdr:col>3</xdr:col>
      <xdr:colOff>615462</xdr:colOff>
      <xdr:row>9</xdr:row>
      <xdr:rowOff>95619</xdr:rowOff>
    </xdr:to>
    <xdr:sp macro="" textlink="$O$53">
      <xdr:nvSpPr>
        <xdr:cNvPr id="146" name="object 3">
          <a:extLst>
            <a:ext uri="{FF2B5EF4-FFF2-40B4-BE49-F238E27FC236}">
              <a16:creationId xmlns:a16="http://schemas.microsoft.com/office/drawing/2014/main" id="{A90B96CD-525D-4C30-9A9A-609BBAD21374}"/>
            </a:ext>
          </a:extLst>
        </xdr:cNvPr>
        <xdr:cNvSpPr txBox="1"/>
      </xdr:nvSpPr>
      <xdr:spPr>
        <a:xfrm>
          <a:off x="2124075" y="1666875"/>
          <a:ext cx="777387" cy="143244"/>
        </a:xfrm>
        <a:prstGeom prst="rect">
          <a:avLst/>
        </a:prstGeom>
      </xdr:spPr>
      <xdr:txBody>
        <a:bodyPr vert="horz" wrap="square" lIns="0" tIns="16510" rIns="0" bIns="0" rtlCol="0">
          <a:sp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12700">
            <a:lnSpc>
              <a:spcPct val="100000"/>
            </a:lnSpc>
            <a:spcBef>
              <a:spcPts val="130"/>
            </a:spcBef>
            <a:tabLst>
              <a:tab pos="1559560" algn="l"/>
            </a:tabLst>
          </a:pPr>
          <a:fld id="{470A2972-1D95-4D5E-A75C-CEE056B26F05}" type="TxLink">
            <a:rPr lang="en-US" sz="850" b="1" i="0" u="none" strike="noStrike">
              <a:solidFill>
                <a:srgbClr val="2E463A"/>
              </a:solidFill>
              <a:latin typeface="Trebuchet MS"/>
              <a:cs typeface="Trebuchet MS"/>
            </a:rPr>
            <a:pPr marL="12700">
              <a:lnSpc>
                <a:spcPct val="100000"/>
              </a:lnSpc>
              <a:spcBef>
                <a:spcPts val="130"/>
              </a:spcBef>
              <a:tabLst>
                <a:tab pos="1559560" algn="l"/>
              </a:tabLst>
            </a:pPr>
            <a:t>31/07/2023</a:t>
          </a:fld>
          <a:endParaRPr sz="850">
            <a:latin typeface="Trebuchet MS"/>
            <a:cs typeface="Trebuchet MS"/>
          </a:endParaRPr>
        </a:p>
      </xdr:txBody>
    </xdr:sp>
    <xdr:clientData/>
  </xdr:twoCellAnchor>
  <xdr:twoCellAnchor>
    <xdr:from>
      <xdr:col>1</xdr:col>
      <xdr:colOff>352425</xdr:colOff>
      <xdr:row>9</xdr:row>
      <xdr:rowOff>161925</xdr:rowOff>
    </xdr:from>
    <xdr:to>
      <xdr:col>2</xdr:col>
      <xdr:colOff>171450</xdr:colOff>
      <xdr:row>10</xdr:row>
      <xdr:rowOff>114669</xdr:rowOff>
    </xdr:to>
    <xdr:sp macro="" textlink="$O$54">
      <xdr:nvSpPr>
        <xdr:cNvPr id="147" name="object 3">
          <a:extLst>
            <a:ext uri="{FF2B5EF4-FFF2-40B4-BE49-F238E27FC236}">
              <a16:creationId xmlns:a16="http://schemas.microsoft.com/office/drawing/2014/main" id="{3791DBE8-22E2-4B24-90FA-7AA416E2216F}"/>
            </a:ext>
          </a:extLst>
        </xdr:cNvPr>
        <xdr:cNvSpPr txBox="1"/>
      </xdr:nvSpPr>
      <xdr:spPr>
        <a:xfrm>
          <a:off x="1114425" y="1876425"/>
          <a:ext cx="581025" cy="143244"/>
        </a:xfrm>
        <a:prstGeom prst="rect">
          <a:avLst/>
        </a:prstGeom>
      </xdr:spPr>
      <xdr:txBody>
        <a:bodyPr vert="horz" wrap="square" lIns="0" tIns="16510" rIns="0" bIns="0" rtlCol="0">
          <a:sp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12700">
            <a:lnSpc>
              <a:spcPct val="100000"/>
            </a:lnSpc>
            <a:spcBef>
              <a:spcPts val="130"/>
            </a:spcBef>
            <a:tabLst>
              <a:tab pos="1559560" algn="l"/>
            </a:tabLst>
          </a:pPr>
          <a:fld id="{405EC185-85C0-432B-8DDB-EAE21729BE95}" type="TxLink">
            <a:rPr lang="en-US" sz="850" b="1" i="0" u="none" strike="noStrike">
              <a:solidFill>
                <a:srgbClr val="2E463A"/>
              </a:solidFill>
              <a:latin typeface="Trebuchet MS"/>
              <a:cs typeface="Trebuchet MS"/>
            </a:rPr>
            <a:pPr marL="12700">
              <a:lnSpc>
                <a:spcPct val="100000"/>
              </a:lnSpc>
              <a:spcBef>
                <a:spcPts val="130"/>
              </a:spcBef>
              <a:tabLst>
                <a:tab pos="1559560" algn="l"/>
              </a:tabLst>
            </a:pPr>
            <a:t>31</a:t>
          </a:fld>
          <a:endParaRPr sz="850">
            <a:latin typeface="Trebuchet MS"/>
            <a:cs typeface="Trebuchet MS"/>
          </a:endParaRPr>
        </a:p>
      </xdr:txBody>
    </xdr:sp>
    <xdr:clientData/>
  </xdr:twoCellAnchor>
  <xdr:oneCellAnchor>
    <xdr:from>
      <xdr:col>5</xdr:col>
      <xdr:colOff>549519</xdr:colOff>
      <xdr:row>46</xdr:row>
      <xdr:rowOff>21981</xdr:rowOff>
    </xdr:from>
    <xdr:ext cx="632161" cy="201915"/>
    <xdr:sp macro="" textlink="$O$70">
      <xdr:nvSpPr>
        <xdr:cNvPr id="102" name="CuadroTexto 101">
          <a:extLst>
            <a:ext uri="{FF2B5EF4-FFF2-40B4-BE49-F238E27FC236}">
              <a16:creationId xmlns:a16="http://schemas.microsoft.com/office/drawing/2014/main" id="{BA8B0283-AFB0-4EF8-8E23-5B619554B624}"/>
            </a:ext>
          </a:extLst>
        </xdr:cNvPr>
        <xdr:cNvSpPr txBox="1"/>
      </xdr:nvSpPr>
      <xdr:spPr>
        <a:xfrm>
          <a:off x="4359519" y="8806962"/>
          <a:ext cx="632161" cy="20191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07ECD65F-E288-4001-B1CF-88BDA76D9287}" type="TxLink">
            <a:rPr lang="en-US" sz="700" b="1" i="0" u="none" strike="noStrike">
              <a:solidFill>
                <a:srgbClr val="2E463A"/>
              </a:solidFill>
              <a:latin typeface="Trebuchet MS"/>
              <a:ea typeface="Calibri"/>
              <a:cs typeface="Calibri"/>
            </a:rPr>
            <a:pPr/>
            <a:t>1/08/2023</a:t>
          </a:fld>
          <a:endParaRPr lang="es-CO" sz="700"/>
        </a:p>
      </xdr:txBody>
    </xdr:sp>
    <xdr:clientData/>
  </xdr:oneCellAnchor>
  <xdr:oneCellAnchor>
    <xdr:from>
      <xdr:col>5</xdr:col>
      <xdr:colOff>23008</xdr:colOff>
      <xdr:row>45</xdr:row>
      <xdr:rowOff>134401</xdr:rowOff>
    </xdr:from>
    <xdr:ext cx="2850603" cy="136695"/>
    <xdr:sp macro="" textlink="$O$69">
      <xdr:nvSpPr>
        <xdr:cNvPr id="103" name="CuadroTexto 102">
          <a:extLst>
            <a:ext uri="{FF2B5EF4-FFF2-40B4-BE49-F238E27FC236}">
              <a16:creationId xmlns:a16="http://schemas.microsoft.com/office/drawing/2014/main" id="{9170348E-59FF-4A30-8F55-C95C635A5AB2}"/>
            </a:ext>
          </a:extLst>
        </xdr:cNvPr>
        <xdr:cNvSpPr txBox="1"/>
      </xdr:nvSpPr>
      <xdr:spPr>
        <a:xfrm>
          <a:off x="3833008" y="8706901"/>
          <a:ext cx="2850603" cy="13669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fld id="{1E652047-BEFE-4AD0-8B4D-6423574C0F67}" type="TxLink">
            <a:rPr lang="en-US" sz="500" b="1" i="0" u="none" strike="noStrike">
              <a:solidFill>
                <a:srgbClr val="2E463A"/>
              </a:solidFill>
              <a:latin typeface="Arial"/>
              <a:ea typeface="Calibri"/>
              <a:cs typeface="Arial"/>
            </a:rPr>
            <a:pPr/>
            <a:t>CUFEASDASD4654F65SA1555D</a:t>
          </a:fld>
          <a:endParaRPr lang="es-CO" sz="500">
            <a:solidFill>
              <a:srgbClr val="34523B"/>
            </a:solidFill>
          </a:endParaRPr>
        </a:p>
      </xdr:txBody>
    </xdr:sp>
    <xdr:clientData/>
  </xdr:oneCellAnchor>
  <xdr:oneCellAnchor>
    <xdr:from>
      <xdr:col>0</xdr:col>
      <xdr:colOff>705706</xdr:colOff>
      <xdr:row>41</xdr:row>
      <xdr:rowOff>173540</xdr:rowOff>
    </xdr:from>
    <xdr:ext cx="847602" cy="233205"/>
    <xdr:sp macro="" textlink="$O$64">
      <xdr:nvSpPr>
        <xdr:cNvPr id="104" name="CuadroTexto 103">
          <a:extLst>
            <a:ext uri="{FF2B5EF4-FFF2-40B4-BE49-F238E27FC236}">
              <a16:creationId xmlns:a16="http://schemas.microsoft.com/office/drawing/2014/main" id="{3574660E-0247-484F-B90C-6EC3E7EC8259}"/>
            </a:ext>
          </a:extLst>
        </xdr:cNvPr>
        <xdr:cNvSpPr txBox="1"/>
      </xdr:nvSpPr>
      <xdr:spPr>
        <a:xfrm>
          <a:off x="705706" y="7984040"/>
          <a:ext cx="847602" cy="233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E7B8A65A-D78A-40FA-B038-1082B5B593E1}" type="TxLink">
            <a:rPr lang="en-US" sz="900" b="1" i="0" u="none" strike="noStrike">
              <a:solidFill>
                <a:srgbClr val="2E463A"/>
              </a:solidFill>
              <a:latin typeface="Trebuchet MS"/>
              <a:ea typeface="Calibri"/>
              <a:cs typeface="Calibri"/>
            </a:rPr>
            <a:pPr/>
            <a:t>CONT_001</a:t>
          </a:fld>
          <a:endParaRPr lang="es-CO" sz="1100"/>
        </a:p>
      </xdr:txBody>
    </xdr:sp>
    <xdr:clientData/>
  </xdr:oneCellAnchor>
  <xdr:oneCellAnchor>
    <xdr:from>
      <xdr:col>0</xdr:col>
      <xdr:colOff>622788</xdr:colOff>
      <xdr:row>41</xdr:row>
      <xdr:rowOff>43961</xdr:rowOff>
    </xdr:from>
    <xdr:ext cx="952499" cy="217560"/>
    <xdr:sp macro="" textlink="$O$63">
      <xdr:nvSpPr>
        <xdr:cNvPr id="105" name="CuadroTexto 104">
          <a:extLst>
            <a:ext uri="{FF2B5EF4-FFF2-40B4-BE49-F238E27FC236}">
              <a16:creationId xmlns:a16="http://schemas.microsoft.com/office/drawing/2014/main" id="{50E479DE-0D75-48ED-9D68-CB7F2B4575C7}"/>
            </a:ext>
          </a:extLst>
        </xdr:cNvPr>
        <xdr:cNvSpPr txBox="1"/>
      </xdr:nvSpPr>
      <xdr:spPr>
        <a:xfrm>
          <a:off x="622788" y="7854461"/>
          <a:ext cx="952499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8129850B-EF6D-477A-AA75-D56A1DA4DAE9}" type="TxLink">
            <a:rPr lang="en-US" sz="800" b="1" i="0" u="none" strike="noStrike">
              <a:solidFill>
                <a:srgbClr val="2E463A"/>
              </a:solidFill>
              <a:latin typeface="Trebuchet MS"/>
              <a:ea typeface="Calibri"/>
              <a:cs typeface="Calibri"/>
            </a:rPr>
            <a:pPr/>
            <a:t>FACT_001</a:t>
          </a:fld>
          <a:endParaRPr lang="es-CO" sz="1100"/>
        </a:p>
      </xdr:txBody>
    </xdr:sp>
    <xdr:clientData/>
  </xdr:oneCellAnchor>
  <xdr:oneCellAnchor>
    <xdr:from>
      <xdr:col>0</xdr:col>
      <xdr:colOff>483577</xdr:colOff>
      <xdr:row>40</xdr:row>
      <xdr:rowOff>102577</xdr:rowOff>
    </xdr:from>
    <xdr:ext cx="893884" cy="209737"/>
    <xdr:sp macro="" textlink="$O$62">
      <xdr:nvSpPr>
        <xdr:cNvPr id="108" name="CuadroTexto 107">
          <a:extLst>
            <a:ext uri="{FF2B5EF4-FFF2-40B4-BE49-F238E27FC236}">
              <a16:creationId xmlns:a16="http://schemas.microsoft.com/office/drawing/2014/main" id="{EABA1919-61A6-4CBF-B39A-5CAF9A76A187}"/>
            </a:ext>
          </a:extLst>
        </xdr:cNvPr>
        <xdr:cNvSpPr txBox="1"/>
      </xdr:nvSpPr>
      <xdr:spPr>
        <a:xfrm>
          <a:off x="483577" y="7722577"/>
          <a:ext cx="893884" cy="20973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202096E5-756F-4743-AB6A-46C03D1FACFD}" type="TxLink">
            <a:rPr lang="en-US" sz="750" b="1" i="0" u="none" strike="noStrike">
              <a:solidFill>
                <a:srgbClr val="2E463A"/>
              </a:solidFill>
              <a:latin typeface="Trebuchet MS"/>
              <a:ea typeface="Calibri"/>
              <a:cs typeface="Calibri"/>
            </a:rPr>
            <a:pPr/>
            <a:t>2023-07</a:t>
          </a:fld>
          <a:endParaRPr lang="es-CO" sz="1100"/>
        </a:p>
      </xdr:txBody>
    </xdr:sp>
    <xdr:clientData/>
  </xdr:oneCellAnchor>
  <xdr:oneCellAnchor>
    <xdr:from>
      <xdr:col>3</xdr:col>
      <xdr:colOff>98464</xdr:colOff>
      <xdr:row>33</xdr:row>
      <xdr:rowOff>96269</xdr:rowOff>
    </xdr:from>
    <xdr:ext cx="1047751" cy="217560"/>
    <xdr:sp macro="" textlink="$O$61">
      <xdr:nvSpPr>
        <xdr:cNvPr id="112" name="CuadroTexto 111">
          <a:extLst>
            <a:ext uri="{FF2B5EF4-FFF2-40B4-BE49-F238E27FC236}">
              <a16:creationId xmlns:a16="http://schemas.microsoft.com/office/drawing/2014/main" id="{D44FFED0-882A-45A1-8570-C8498933D58E}"/>
            </a:ext>
          </a:extLst>
        </xdr:cNvPr>
        <xdr:cNvSpPr txBox="1"/>
      </xdr:nvSpPr>
      <xdr:spPr>
        <a:xfrm>
          <a:off x="2384464" y="6382769"/>
          <a:ext cx="1047751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fld id="{E8493499-9A0D-4F23-9B79-9DC4E212A6A7}" type="TxLink">
            <a:rPr lang="en-US" sz="800" b="1" i="0" u="none" strike="noStrike">
              <a:solidFill>
                <a:schemeClr val="bg1"/>
              </a:solidFill>
              <a:latin typeface="Trebuchet MS"/>
              <a:ea typeface="Calibri"/>
              <a:cs typeface="Calibri"/>
            </a:rPr>
            <a:pPr algn="ctr"/>
            <a:t>1/08/2023</a:t>
          </a:fld>
          <a:endParaRPr lang="es-CO" sz="800">
            <a:solidFill>
              <a:schemeClr val="bg1"/>
            </a:solidFill>
          </a:endParaRPr>
        </a:p>
      </xdr:txBody>
    </xdr:sp>
    <xdr:clientData/>
  </xdr:oneCellAnchor>
  <xdr:oneCellAnchor>
    <xdr:from>
      <xdr:col>0</xdr:col>
      <xdr:colOff>718038</xdr:colOff>
      <xdr:row>33</xdr:row>
      <xdr:rowOff>146539</xdr:rowOff>
    </xdr:from>
    <xdr:ext cx="1377462" cy="205154"/>
    <xdr:sp macro="" textlink="$O$60">
      <xdr:nvSpPr>
        <xdr:cNvPr id="113" name="CuadroTexto 112">
          <a:extLst>
            <a:ext uri="{FF2B5EF4-FFF2-40B4-BE49-F238E27FC236}">
              <a16:creationId xmlns:a16="http://schemas.microsoft.com/office/drawing/2014/main" id="{67C14E10-84C9-43AA-8B60-6153D8A67995}"/>
            </a:ext>
          </a:extLst>
        </xdr:cNvPr>
        <xdr:cNvSpPr txBox="1"/>
      </xdr:nvSpPr>
      <xdr:spPr>
        <a:xfrm>
          <a:off x="718038" y="6433039"/>
          <a:ext cx="1377462" cy="20515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fld id="{20E8BD3E-C5A4-4559-B147-B30BFD6339A6}" type="TxLink">
            <a:rPr lang="en-US" sz="900" b="1" i="0" u="none" strike="noStrike">
              <a:solidFill>
                <a:srgbClr val="2E463A"/>
              </a:solidFill>
              <a:latin typeface="Trebuchet MS"/>
              <a:ea typeface="Calibri"/>
              <a:cs typeface="Calibri"/>
            </a:rPr>
            <a:pPr algn="ctr"/>
            <a:t>$ 7.433.728,41</a:t>
          </a:fld>
          <a:endParaRPr lang="es-CO" sz="1100">
            <a:solidFill>
              <a:srgbClr val="34523B"/>
            </a:solidFill>
          </a:endParaRPr>
        </a:p>
      </xdr:txBody>
    </xdr:sp>
    <xdr:clientData/>
  </xdr:oneCellAnchor>
  <xdr:twoCellAnchor>
    <xdr:from>
      <xdr:col>5</xdr:col>
      <xdr:colOff>146539</xdr:colOff>
      <xdr:row>8</xdr:row>
      <xdr:rowOff>43962</xdr:rowOff>
    </xdr:from>
    <xdr:to>
      <xdr:col>6</xdr:col>
      <xdr:colOff>644768</xdr:colOff>
      <xdr:row>9</xdr:row>
      <xdr:rowOff>44433</xdr:rowOff>
    </xdr:to>
    <xdr:sp macro="" textlink="$O$65">
      <xdr:nvSpPr>
        <xdr:cNvPr id="114" name="object 49">
          <a:extLst>
            <a:ext uri="{FF2B5EF4-FFF2-40B4-BE49-F238E27FC236}">
              <a16:creationId xmlns:a16="http://schemas.microsoft.com/office/drawing/2014/main" id="{50B70405-E092-43D6-B508-C0EAB1FB08A0}"/>
            </a:ext>
          </a:extLst>
        </xdr:cNvPr>
        <xdr:cNvSpPr txBox="1"/>
      </xdr:nvSpPr>
      <xdr:spPr>
        <a:xfrm>
          <a:off x="3956539" y="1567962"/>
          <a:ext cx="1260229" cy="190971"/>
        </a:xfrm>
        <a:prstGeom prst="rect">
          <a:avLst/>
        </a:prstGeom>
      </xdr:spPr>
      <xdr:txBody>
        <a:bodyPr vert="horz" wrap="square" lIns="0" tIns="14604" rIns="0" bIns="0" rtlCol="0">
          <a:no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>
            <a:lnSpc>
              <a:spcPct val="100000"/>
            </a:lnSpc>
            <a:spcBef>
              <a:spcPts val="114"/>
            </a:spcBef>
          </a:pPr>
          <a:fld id="{F3CE7770-E4F1-4637-994E-74E75BA52311}" type="TxLink">
            <a:rPr lang="en-US" sz="1050" b="1" i="0" u="none" strike="noStrike" spc="-70">
              <a:solidFill>
                <a:schemeClr val="accent6">
                  <a:lumMod val="50000"/>
                </a:schemeClr>
              </a:solidFill>
              <a:latin typeface="Trebuchet MS"/>
              <a:ea typeface="Calibri"/>
              <a:cs typeface="Calibri"/>
            </a:rPr>
            <a:pPr algn="ctr">
              <a:lnSpc>
                <a:spcPct val="100000"/>
              </a:lnSpc>
              <a:spcBef>
                <a:spcPts val="114"/>
              </a:spcBef>
            </a:pPr>
            <a:t>$ 338.206.423,27</a:t>
          </a:fld>
          <a:endParaRPr sz="1050">
            <a:solidFill>
              <a:schemeClr val="accent6">
                <a:lumMod val="50000"/>
              </a:schemeClr>
            </a:solidFill>
            <a:latin typeface="Trebuchet MS"/>
            <a:cs typeface="Trebuchet MS"/>
          </a:endParaRPr>
        </a:p>
      </xdr:txBody>
    </xdr:sp>
    <xdr:clientData/>
  </xdr:twoCellAnchor>
  <xdr:twoCellAnchor>
    <xdr:from>
      <xdr:col>6</xdr:col>
      <xdr:colOff>696057</xdr:colOff>
      <xdr:row>8</xdr:row>
      <xdr:rowOff>49823</xdr:rowOff>
    </xdr:from>
    <xdr:to>
      <xdr:col>8</xdr:col>
      <xdr:colOff>417634</xdr:colOff>
      <xdr:row>9</xdr:row>
      <xdr:rowOff>50294</xdr:rowOff>
    </xdr:to>
    <xdr:sp macro="" textlink="$O$66">
      <xdr:nvSpPr>
        <xdr:cNvPr id="115" name="object 49">
          <a:extLst>
            <a:ext uri="{FF2B5EF4-FFF2-40B4-BE49-F238E27FC236}">
              <a16:creationId xmlns:a16="http://schemas.microsoft.com/office/drawing/2014/main" id="{8AAA4BD4-091F-41D1-A1E8-E93CA2AAC301}"/>
            </a:ext>
          </a:extLst>
        </xdr:cNvPr>
        <xdr:cNvSpPr txBox="1"/>
      </xdr:nvSpPr>
      <xdr:spPr>
        <a:xfrm>
          <a:off x="5268057" y="1573823"/>
          <a:ext cx="1245577" cy="190971"/>
        </a:xfrm>
        <a:prstGeom prst="rect">
          <a:avLst/>
        </a:prstGeom>
      </xdr:spPr>
      <xdr:txBody>
        <a:bodyPr vert="horz" wrap="square" lIns="0" tIns="14604" rIns="0" bIns="0" rtlCol="0">
          <a:no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>
            <a:lnSpc>
              <a:spcPct val="100000"/>
            </a:lnSpc>
            <a:spcBef>
              <a:spcPts val="114"/>
            </a:spcBef>
          </a:pPr>
          <a:fld id="{F7DA1707-46FB-4A86-B2E5-020061458012}" type="TxLink">
            <a:rPr lang="en-US" sz="1050" b="1" i="0" u="none" strike="noStrike" spc="-70">
              <a:solidFill>
                <a:schemeClr val="accent6">
                  <a:lumMod val="50000"/>
                </a:schemeClr>
              </a:solidFill>
              <a:latin typeface="Trebuchet MS"/>
              <a:ea typeface="Calibri"/>
              <a:cs typeface="Calibri"/>
            </a:rPr>
            <a:pPr algn="ctr">
              <a:lnSpc>
                <a:spcPct val="100000"/>
              </a:lnSpc>
              <a:spcBef>
                <a:spcPts val="114"/>
              </a:spcBef>
            </a:pPr>
            <a:t>$ 393.648.572,27</a:t>
          </a:fld>
          <a:endParaRPr sz="1050">
            <a:solidFill>
              <a:schemeClr val="accent6">
                <a:lumMod val="50000"/>
              </a:schemeClr>
            </a:solidFill>
            <a:latin typeface="Trebuchet MS"/>
            <a:cs typeface="Trebuchet MS"/>
          </a:endParaRPr>
        </a:p>
      </xdr:txBody>
    </xdr:sp>
    <xdr:clientData/>
  </xdr:twoCellAnchor>
  <xdr:oneCellAnchor>
    <xdr:from>
      <xdr:col>5</xdr:col>
      <xdr:colOff>109905</xdr:colOff>
      <xdr:row>28</xdr:row>
      <xdr:rowOff>161193</xdr:rowOff>
    </xdr:from>
    <xdr:ext cx="923192" cy="234461"/>
    <xdr:sp macro="" textlink="$O$67">
      <xdr:nvSpPr>
        <xdr:cNvPr id="116" name="CuadroTexto 115">
          <a:extLst>
            <a:ext uri="{FF2B5EF4-FFF2-40B4-BE49-F238E27FC236}">
              <a16:creationId xmlns:a16="http://schemas.microsoft.com/office/drawing/2014/main" id="{79994710-D978-4B3F-8260-70161F2CB6DA}"/>
            </a:ext>
          </a:extLst>
        </xdr:cNvPr>
        <xdr:cNvSpPr txBox="1"/>
      </xdr:nvSpPr>
      <xdr:spPr>
        <a:xfrm>
          <a:off x="3919905" y="5495193"/>
          <a:ext cx="923192" cy="23446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l"/>
          <a:fld id="{2362E65D-ADD0-4E28-AFD9-297F55C9C8E4}" type="TxLink">
            <a:rPr lang="en-US" sz="1050" b="1" i="0" u="none" strike="noStrike">
              <a:solidFill>
                <a:schemeClr val="accent6">
                  <a:lumMod val="50000"/>
                </a:schemeClr>
              </a:solidFill>
              <a:latin typeface="Trebuchet MS"/>
              <a:ea typeface="Calibri"/>
              <a:cs typeface="Calibri"/>
            </a:rPr>
            <a:pPr algn="l"/>
            <a:t>8.173,92</a:t>
          </a:fld>
          <a:endParaRPr lang="es-CO" sz="1050">
            <a:solidFill>
              <a:schemeClr val="accent6">
                <a:lumMod val="50000"/>
              </a:schemeClr>
            </a:solidFill>
          </a:endParaRPr>
        </a:p>
      </xdr:txBody>
    </xdr:sp>
    <xdr:clientData/>
  </xdr:oneCellAnchor>
  <xdr:oneCellAnchor>
    <xdr:from>
      <xdr:col>6</xdr:col>
      <xdr:colOff>80596</xdr:colOff>
      <xdr:row>28</xdr:row>
      <xdr:rowOff>161192</xdr:rowOff>
    </xdr:from>
    <xdr:ext cx="631904" cy="248722"/>
    <xdr:sp macro="" textlink="#REF!">
      <xdr:nvSpPr>
        <xdr:cNvPr id="117" name="CuadroTexto 116">
          <a:extLst>
            <a:ext uri="{FF2B5EF4-FFF2-40B4-BE49-F238E27FC236}">
              <a16:creationId xmlns:a16="http://schemas.microsoft.com/office/drawing/2014/main" id="{77C5F125-FCA5-4579-B781-718ABEEEE0BC}"/>
            </a:ext>
          </a:extLst>
        </xdr:cNvPr>
        <xdr:cNvSpPr txBox="1"/>
      </xdr:nvSpPr>
      <xdr:spPr>
        <a:xfrm>
          <a:off x="4652596" y="5495192"/>
          <a:ext cx="631904" cy="2487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s-CO" sz="1050" b="1">
              <a:solidFill>
                <a:srgbClr val="34523B"/>
              </a:solidFill>
              <a:latin typeface="Trebuchet MS" panose="020B0603020202020204" pitchFamily="34" charset="0"/>
            </a:rPr>
            <a:t>Kg</a:t>
          </a:r>
          <a:r>
            <a:rPr lang="es-CO" sz="1050" b="1" baseline="0">
              <a:solidFill>
                <a:srgbClr val="34523B"/>
              </a:solidFill>
              <a:latin typeface="Trebuchet MS" panose="020B0603020202020204" pitchFamily="34" charset="0"/>
            </a:rPr>
            <a:t> CO2</a:t>
          </a:r>
          <a:endParaRPr lang="es-CO" sz="1050" b="1">
            <a:solidFill>
              <a:srgbClr val="34523B"/>
            </a:solidFill>
            <a:latin typeface="Trebuchet MS" panose="020B0603020202020204" pitchFamily="34" charset="0"/>
          </a:endParaRPr>
        </a:p>
      </xdr:txBody>
    </xdr:sp>
    <xdr:clientData/>
  </xdr:oneCellAnchor>
  <xdr:oneCellAnchor>
    <xdr:from>
      <xdr:col>6</xdr:col>
      <xdr:colOff>679939</xdr:colOff>
      <xdr:row>28</xdr:row>
      <xdr:rowOff>167054</xdr:rowOff>
    </xdr:from>
    <xdr:ext cx="910003" cy="234461"/>
    <xdr:sp macro="" textlink="$O$68">
      <xdr:nvSpPr>
        <xdr:cNvPr id="118" name="CuadroTexto 117">
          <a:extLst>
            <a:ext uri="{FF2B5EF4-FFF2-40B4-BE49-F238E27FC236}">
              <a16:creationId xmlns:a16="http://schemas.microsoft.com/office/drawing/2014/main" id="{61DE0A4F-F15A-46FF-8570-4988E0514002}"/>
            </a:ext>
          </a:extLst>
        </xdr:cNvPr>
        <xdr:cNvSpPr txBox="1"/>
      </xdr:nvSpPr>
      <xdr:spPr>
        <a:xfrm>
          <a:off x="5251939" y="5501054"/>
          <a:ext cx="910003" cy="23446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l"/>
          <a:fld id="{8F047C84-DC53-4542-8A2B-E3C57DED17F0}" type="TxLink">
            <a:rPr lang="en-US" sz="1050" b="1" i="0" u="none" strike="noStrike">
              <a:solidFill>
                <a:schemeClr val="accent6">
                  <a:lumMod val="50000"/>
                </a:schemeClr>
              </a:solidFill>
              <a:latin typeface="Trebuchet MS"/>
              <a:ea typeface="Calibri"/>
              <a:cs typeface="Calibri"/>
            </a:rPr>
            <a:pPr algn="l"/>
            <a:t>64.770,00</a:t>
          </a:fld>
          <a:endParaRPr lang="es-CO" sz="1050">
            <a:solidFill>
              <a:schemeClr val="accent6">
                <a:lumMod val="50000"/>
              </a:schemeClr>
            </a:solidFill>
          </a:endParaRPr>
        </a:p>
      </xdr:txBody>
    </xdr:sp>
    <xdr:clientData/>
  </xdr:oneCellAnchor>
  <xdr:oneCellAnchor>
    <xdr:from>
      <xdr:col>7</xdr:col>
      <xdr:colOff>635977</xdr:colOff>
      <xdr:row>28</xdr:row>
      <xdr:rowOff>167053</xdr:rowOff>
    </xdr:from>
    <xdr:ext cx="631904" cy="248722"/>
    <xdr:sp macro="" textlink="#REF!">
      <xdr:nvSpPr>
        <xdr:cNvPr id="130" name="CuadroTexto 129">
          <a:extLst>
            <a:ext uri="{FF2B5EF4-FFF2-40B4-BE49-F238E27FC236}">
              <a16:creationId xmlns:a16="http://schemas.microsoft.com/office/drawing/2014/main" id="{353548AC-9F13-443D-961C-1E9C27A79CFB}"/>
            </a:ext>
          </a:extLst>
        </xdr:cNvPr>
        <xdr:cNvSpPr txBox="1"/>
      </xdr:nvSpPr>
      <xdr:spPr>
        <a:xfrm>
          <a:off x="5969977" y="5501053"/>
          <a:ext cx="631904" cy="2487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s-CO" sz="1050" b="1">
              <a:solidFill>
                <a:srgbClr val="34523B"/>
              </a:solidFill>
              <a:latin typeface="Trebuchet MS" panose="020B0603020202020204" pitchFamily="34" charset="0"/>
            </a:rPr>
            <a:t>Kg</a:t>
          </a:r>
          <a:r>
            <a:rPr lang="es-CO" sz="1050" b="1" baseline="0">
              <a:solidFill>
                <a:srgbClr val="34523B"/>
              </a:solidFill>
              <a:latin typeface="Trebuchet MS" panose="020B0603020202020204" pitchFamily="34" charset="0"/>
            </a:rPr>
            <a:t> CO2</a:t>
          </a:r>
          <a:endParaRPr lang="es-CO" sz="1050" b="1">
            <a:solidFill>
              <a:srgbClr val="34523B"/>
            </a:solidFill>
            <a:latin typeface="Trebuchet MS" panose="020B0603020202020204" pitchFamily="34" charset="0"/>
          </a:endParaRPr>
        </a:p>
      </xdr:txBody>
    </xdr:sp>
    <xdr:clientData/>
  </xdr:oneCellAnchor>
  <xdr:twoCellAnchor>
    <xdr:from>
      <xdr:col>0</xdr:col>
      <xdr:colOff>205152</xdr:colOff>
      <xdr:row>26</xdr:row>
      <xdr:rowOff>7327</xdr:rowOff>
    </xdr:from>
    <xdr:to>
      <xdr:col>3</xdr:col>
      <xdr:colOff>593479</xdr:colOff>
      <xdr:row>26</xdr:row>
      <xdr:rowOff>187569</xdr:rowOff>
    </xdr:to>
    <xdr:sp macro="" textlink="$O$57">
      <xdr:nvSpPr>
        <xdr:cNvPr id="133" name="object 21">
          <a:extLst>
            <a:ext uri="{FF2B5EF4-FFF2-40B4-BE49-F238E27FC236}">
              <a16:creationId xmlns:a16="http://schemas.microsoft.com/office/drawing/2014/main" id="{79713337-175A-43E4-A5AB-D6BEC9C7E1C1}"/>
            </a:ext>
          </a:extLst>
        </xdr:cNvPr>
        <xdr:cNvSpPr txBox="1"/>
      </xdr:nvSpPr>
      <xdr:spPr>
        <a:xfrm>
          <a:off x="205152" y="4960327"/>
          <a:ext cx="2674327" cy="180242"/>
        </a:xfrm>
        <a:prstGeom prst="rect">
          <a:avLst/>
        </a:prstGeom>
      </xdr:spPr>
      <xdr:txBody>
        <a:bodyPr vert="horz" wrap="square" lIns="0" tIns="67945" rIns="0" bIns="0" rtlCol="0">
          <a:sp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12700">
            <a:lnSpc>
              <a:spcPct val="100000"/>
            </a:lnSpc>
            <a:spcBef>
              <a:spcPts val="535"/>
            </a:spcBef>
          </a:pPr>
          <a:fld id="{DA5E360D-9857-4ABE-9BAC-733BA3D94C49}" type="TxLink">
            <a:rPr lang="en-US" sz="750" b="0" i="0" u="none" strike="noStrike">
              <a:solidFill>
                <a:srgbClr val="22362C"/>
              </a:solidFill>
              <a:latin typeface="Trebuchet MS"/>
              <a:ea typeface="Calibri"/>
              <a:cs typeface="Calibri"/>
            </a:rPr>
            <a:pPr marL="12700">
              <a:lnSpc>
                <a:spcPct val="100000"/>
              </a:lnSpc>
              <a:spcBef>
                <a:spcPts val="535"/>
              </a:spcBef>
            </a:pPr>
            <a:t>Facturación de Energía Fotovoltaica Planta Punto Clave</a:t>
          </a:fld>
          <a:endParaRPr sz="800" b="0">
            <a:latin typeface="Trebuchet MS"/>
            <a:cs typeface="Trebuchet MS"/>
          </a:endParaRPr>
        </a:p>
      </xdr:txBody>
    </xdr:sp>
    <xdr:clientData/>
  </xdr:twoCellAnchor>
  <xdr:twoCellAnchor>
    <xdr:from>
      <xdr:col>0</xdr:col>
      <xdr:colOff>71250</xdr:colOff>
      <xdr:row>30</xdr:row>
      <xdr:rowOff>143243</xdr:rowOff>
    </xdr:from>
    <xdr:to>
      <xdr:col>4</xdr:col>
      <xdr:colOff>372207</xdr:colOff>
      <xdr:row>30</xdr:row>
      <xdr:rowOff>145073</xdr:rowOff>
    </xdr:to>
    <xdr:cxnSp macro="">
      <xdr:nvCxnSpPr>
        <xdr:cNvPr id="136" name="Conector recto 135">
          <a:extLst>
            <a:ext uri="{FF2B5EF4-FFF2-40B4-BE49-F238E27FC236}">
              <a16:creationId xmlns:a16="http://schemas.microsoft.com/office/drawing/2014/main" id="{0DEF4655-0E33-4611-A816-5AF5E5513D69}"/>
            </a:ext>
          </a:extLst>
        </xdr:cNvPr>
        <xdr:cNvCxnSpPr/>
      </xdr:nvCxnSpPr>
      <xdr:spPr>
        <a:xfrm>
          <a:off x="71250" y="5858243"/>
          <a:ext cx="3348957" cy="183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526073</xdr:colOff>
      <xdr:row>29</xdr:row>
      <xdr:rowOff>93785</xdr:rowOff>
    </xdr:from>
    <xdr:to>
      <xdr:col>3</xdr:col>
      <xdr:colOff>526075</xdr:colOff>
      <xdr:row>31</xdr:row>
      <xdr:rowOff>86458</xdr:rowOff>
    </xdr:to>
    <xdr:cxnSp macro="">
      <xdr:nvCxnSpPr>
        <xdr:cNvPr id="137" name="Conector recto 136">
          <a:extLst>
            <a:ext uri="{FF2B5EF4-FFF2-40B4-BE49-F238E27FC236}">
              <a16:creationId xmlns:a16="http://schemas.microsoft.com/office/drawing/2014/main" id="{AC38EBB6-050B-4A62-A812-48A2382E8B83}"/>
            </a:ext>
          </a:extLst>
        </xdr:cNvPr>
        <xdr:cNvCxnSpPr/>
      </xdr:nvCxnSpPr>
      <xdr:spPr>
        <a:xfrm flipH="1">
          <a:off x="2812073" y="5618285"/>
          <a:ext cx="2" cy="373673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363417</xdr:colOff>
      <xdr:row>29</xdr:row>
      <xdr:rowOff>99647</xdr:rowOff>
    </xdr:from>
    <xdr:to>
      <xdr:col>2</xdr:col>
      <xdr:colOff>366346</xdr:colOff>
      <xdr:row>30</xdr:row>
      <xdr:rowOff>146539</xdr:rowOff>
    </xdr:to>
    <xdr:cxnSp macro="">
      <xdr:nvCxnSpPr>
        <xdr:cNvPr id="140" name="Conector recto 139">
          <a:extLst>
            <a:ext uri="{FF2B5EF4-FFF2-40B4-BE49-F238E27FC236}">
              <a16:creationId xmlns:a16="http://schemas.microsoft.com/office/drawing/2014/main" id="{89E900E0-8AED-4D5F-93D6-24024A4BFD69}"/>
            </a:ext>
          </a:extLst>
        </xdr:cNvPr>
        <xdr:cNvCxnSpPr/>
      </xdr:nvCxnSpPr>
      <xdr:spPr>
        <a:xfrm>
          <a:off x="1887417" y="5624147"/>
          <a:ext cx="2929" cy="237392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278423</xdr:colOff>
      <xdr:row>12</xdr:row>
      <xdr:rowOff>73269</xdr:rowOff>
    </xdr:from>
    <xdr:to>
      <xdr:col>4</xdr:col>
      <xdr:colOff>6234</xdr:colOff>
      <xdr:row>15</xdr:row>
      <xdr:rowOff>5619</xdr:rowOff>
    </xdr:to>
    <xdr:sp macro="" textlink="">
      <xdr:nvSpPr>
        <xdr:cNvPr id="142" name="object 6">
          <a:extLst>
            <a:ext uri="{FF2B5EF4-FFF2-40B4-BE49-F238E27FC236}">
              <a16:creationId xmlns:a16="http://schemas.microsoft.com/office/drawing/2014/main" id="{A60E7893-E50E-4E97-99FE-14CACE4D5603}"/>
            </a:ext>
          </a:extLst>
        </xdr:cNvPr>
        <xdr:cNvSpPr/>
      </xdr:nvSpPr>
      <xdr:spPr>
        <a:xfrm>
          <a:off x="1802423" y="2359269"/>
          <a:ext cx="1251811" cy="503850"/>
        </a:xfrm>
        <a:custGeom>
          <a:avLst/>
          <a:gdLst/>
          <a:ahLst/>
          <a:cxnLst/>
          <a:rect l="l" t="t" r="r" b="b"/>
          <a:pathLst>
            <a:path w="1248410" h="485139">
              <a:moveTo>
                <a:pt x="0" y="485063"/>
              </a:moveTo>
              <a:lnTo>
                <a:pt x="1248371" y="485063"/>
              </a:lnTo>
              <a:lnTo>
                <a:pt x="1248371" y="0"/>
              </a:lnTo>
              <a:lnTo>
                <a:pt x="0" y="0"/>
              </a:lnTo>
              <a:lnTo>
                <a:pt x="0" y="485063"/>
              </a:lnTo>
              <a:close/>
            </a:path>
          </a:pathLst>
        </a:custGeom>
        <a:ln w="11811">
          <a:solidFill>
            <a:srgbClr val="7BAE5F"/>
          </a:solidFill>
        </a:ln>
      </xdr:spPr>
      <xdr:txBody>
        <a:bodyPr wrap="square" lIns="0" tIns="0" rIns="0" bIns="0" rtlCol="0"/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/>
        </a:p>
      </xdr:txBody>
    </xdr:sp>
    <xdr:clientData/>
  </xdr:twoCellAnchor>
  <xdr:twoCellAnchor>
    <xdr:from>
      <xdr:col>0</xdr:col>
      <xdr:colOff>454269</xdr:colOff>
      <xdr:row>12</xdr:row>
      <xdr:rowOff>73269</xdr:rowOff>
    </xdr:from>
    <xdr:to>
      <xdr:col>2</xdr:col>
      <xdr:colOff>185483</xdr:colOff>
      <xdr:row>15</xdr:row>
      <xdr:rowOff>4984</xdr:rowOff>
    </xdr:to>
    <xdr:sp macro="" textlink="">
      <xdr:nvSpPr>
        <xdr:cNvPr id="143" name="object 4">
          <a:extLst>
            <a:ext uri="{FF2B5EF4-FFF2-40B4-BE49-F238E27FC236}">
              <a16:creationId xmlns:a16="http://schemas.microsoft.com/office/drawing/2014/main" id="{3523C901-445B-4A76-BA3E-78E3DAE7AEBC}"/>
            </a:ext>
          </a:extLst>
        </xdr:cNvPr>
        <xdr:cNvSpPr/>
      </xdr:nvSpPr>
      <xdr:spPr>
        <a:xfrm>
          <a:off x="454269" y="2359269"/>
          <a:ext cx="1255214" cy="503215"/>
        </a:xfrm>
        <a:custGeom>
          <a:avLst/>
          <a:gdLst/>
          <a:ahLst/>
          <a:cxnLst/>
          <a:rect l="l" t="t" r="r" b="b"/>
          <a:pathLst>
            <a:path w="1248410" h="484504">
              <a:moveTo>
                <a:pt x="0" y="484124"/>
              </a:moveTo>
              <a:lnTo>
                <a:pt x="1248371" y="484124"/>
              </a:lnTo>
              <a:lnTo>
                <a:pt x="1248371" y="0"/>
              </a:lnTo>
              <a:lnTo>
                <a:pt x="0" y="0"/>
              </a:lnTo>
              <a:lnTo>
                <a:pt x="0" y="484124"/>
              </a:lnTo>
              <a:close/>
            </a:path>
          </a:pathLst>
        </a:custGeom>
        <a:ln w="11811">
          <a:solidFill>
            <a:srgbClr val="7BAE5F"/>
          </a:solidFill>
        </a:ln>
      </xdr:spPr>
      <xdr:txBody>
        <a:bodyPr wrap="square" lIns="0" tIns="0" rIns="0" bIns="0" rtlCol="0"/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/>
        </a:p>
      </xdr:txBody>
    </xdr:sp>
    <xdr:clientData/>
  </xdr:twoCellAnchor>
  <xdr:twoCellAnchor>
    <xdr:from>
      <xdr:col>0</xdr:col>
      <xdr:colOff>461596</xdr:colOff>
      <xdr:row>13</xdr:row>
      <xdr:rowOff>102577</xdr:rowOff>
    </xdr:from>
    <xdr:to>
      <xdr:col>1</xdr:col>
      <xdr:colOff>694514</xdr:colOff>
      <xdr:row>15</xdr:row>
      <xdr:rowOff>15057</xdr:rowOff>
    </xdr:to>
    <xdr:sp macro="" textlink="$O$55">
      <xdr:nvSpPr>
        <xdr:cNvPr id="148" name="object 19">
          <a:extLst>
            <a:ext uri="{FF2B5EF4-FFF2-40B4-BE49-F238E27FC236}">
              <a16:creationId xmlns:a16="http://schemas.microsoft.com/office/drawing/2014/main" id="{684BAA32-0E53-4D1C-B1ED-063E502DA4E9}"/>
            </a:ext>
          </a:extLst>
        </xdr:cNvPr>
        <xdr:cNvSpPr txBox="1"/>
      </xdr:nvSpPr>
      <xdr:spPr>
        <a:xfrm>
          <a:off x="461596" y="2579077"/>
          <a:ext cx="994918" cy="293480"/>
        </a:xfrm>
        <a:prstGeom prst="rect">
          <a:avLst/>
        </a:prstGeom>
      </xdr:spPr>
      <xdr:txBody>
        <a:bodyPr vert="horz" wrap="square" lIns="0" tIns="13970" rIns="0" bIns="0" rtlCol="0" anchor="ctr">
          <a:no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12700" indent="0" algn="ctr" defTabSz="914400" rtl="0" eaLnBrk="1" latinLnBrk="0" hangingPunct="1">
            <a:lnSpc>
              <a:spcPct val="100000"/>
            </a:lnSpc>
            <a:spcBef>
              <a:spcPts val="110"/>
            </a:spcBef>
            <a:tabLst>
              <a:tab pos="1339850" algn="l"/>
            </a:tabLst>
          </a:pPr>
          <a:fld id="{C7CBC8CE-3E5D-4EE7-9A65-9696A9BAEFC2}" type="TxLink">
            <a:rPr lang="en-US" sz="1100" b="1" i="0" u="none" strike="noStrike" kern="1200" spc="5">
              <a:solidFill>
                <a:srgbClr val="34523B"/>
              </a:solidFill>
              <a:latin typeface="Trebuchet MS" panose="020B0603020202020204" pitchFamily="34" charset="0"/>
              <a:ea typeface="Calibri"/>
              <a:cs typeface="Calibri"/>
            </a:rPr>
            <a:pPr marL="12700" indent="0" algn="ctr" defTabSz="914400" rtl="0" eaLnBrk="1" latinLnBrk="0" hangingPunct="1">
              <a:lnSpc>
                <a:spcPct val="100000"/>
              </a:lnSpc>
              <a:spcBef>
                <a:spcPts val="110"/>
              </a:spcBef>
              <a:tabLst>
                <a:tab pos="1339850" algn="l"/>
              </a:tabLst>
            </a:pPr>
            <a:t>16.218,10</a:t>
          </a:fld>
          <a:endParaRPr sz="1100" b="1" i="0" u="none" strike="noStrike" kern="1200" spc="5">
            <a:solidFill>
              <a:srgbClr val="34523B"/>
            </a:solidFill>
            <a:latin typeface="Trebuchet MS" panose="020B0603020202020204" pitchFamily="34" charset="0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630115</xdr:colOff>
      <xdr:row>13</xdr:row>
      <xdr:rowOff>109903</xdr:rowOff>
    </xdr:from>
    <xdr:to>
      <xdr:col>2</xdr:col>
      <xdr:colOff>191695</xdr:colOff>
      <xdr:row>15</xdr:row>
      <xdr:rowOff>22383</xdr:rowOff>
    </xdr:to>
    <xdr:sp macro="" textlink="">
      <xdr:nvSpPr>
        <xdr:cNvPr id="149" name="object 19">
          <a:extLst>
            <a:ext uri="{FF2B5EF4-FFF2-40B4-BE49-F238E27FC236}">
              <a16:creationId xmlns:a16="http://schemas.microsoft.com/office/drawing/2014/main" id="{5AA88C7D-E872-49F4-8C28-ED198790EACF}"/>
            </a:ext>
          </a:extLst>
        </xdr:cNvPr>
        <xdr:cNvSpPr txBox="1"/>
      </xdr:nvSpPr>
      <xdr:spPr>
        <a:xfrm>
          <a:off x="1392115" y="2586403"/>
          <a:ext cx="323580" cy="293480"/>
        </a:xfrm>
        <a:prstGeom prst="rect">
          <a:avLst/>
        </a:prstGeom>
      </xdr:spPr>
      <xdr:txBody>
        <a:bodyPr vert="horz" wrap="square" lIns="0" tIns="13970" rIns="0" bIns="0" rtlCol="0" anchor="ctr">
          <a:no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12700" algn="ctr">
            <a:lnSpc>
              <a:spcPct val="100000"/>
            </a:lnSpc>
            <a:spcBef>
              <a:spcPts val="110"/>
            </a:spcBef>
            <a:tabLst>
              <a:tab pos="1339850" algn="l"/>
            </a:tabLst>
          </a:pPr>
          <a:r>
            <a:rPr lang="es-MX" sz="1250" b="1" spc="5">
              <a:solidFill>
                <a:srgbClr val="22362C"/>
              </a:solidFill>
              <a:latin typeface="Trebuchet MS"/>
              <a:cs typeface="Trebuchet MS"/>
            </a:rPr>
            <a:t>   </a:t>
          </a:r>
          <a:r>
            <a:rPr lang="es-MX" sz="1250" b="1" spc="5" baseline="0">
              <a:solidFill>
                <a:srgbClr val="22362C"/>
              </a:solidFill>
              <a:latin typeface="Trebuchet MS"/>
              <a:cs typeface="Trebuchet MS"/>
            </a:rPr>
            <a:t>       </a:t>
          </a:r>
          <a:r>
            <a:rPr sz="1100" b="1">
              <a:solidFill>
                <a:srgbClr val="34523B"/>
              </a:solidFill>
              <a:latin typeface="Trebuchet MS"/>
              <a:cs typeface="Trebuchet MS"/>
            </a:rPr>
            <a:t>kwh</a:t>
          </a:r>
          <a:r>
            <a:rPr sz="1250" b="1">
              <a:solidFill>
                <a:srgbClr val="22362C"/>
              </a:solidFill>
              <a:latin typeface="Trebuchet MS"/>
              <a:cs typeface="Trebuchet MS"/>
            </a:rPr>
            <a:t>	</a:t>
          </a:r>
          <a:r>
            <a:rPr lang="es-MX" sz="1250" b="1">
              <a:solidFill>
                <a:srgbClr val="22362C"/>
              </a:solidFill>
              <a:latin typeface="Trebuchet MS"/>
              <a:cs typeface="Trebuchet MS"/>
            </a:rPr>
            <a:t> </a:t>
          </a:r>
          <a:endParaRPr sz="1875" baseline="2222">
            <a:latin typeface="Trebuchet MS"/>
            <a:cs typeface="Trebuchet MS"/>
          </a:endParaRPr>
        </a:p>
      </xdr:txBody>
    </xdr:sp>
    <xdr:clientData/>
  </xdr:twoCellAnchor>
  <xdr:twoCellAnchor>
    <xdr:from>
      <xdr:col>0</xdr:col>
      <xdr:colOff>461596</xdr:colOff>
      <xdr:row>12</xdr:row>
      <xdr:rowOff>65942</xdr:rowOff>
    </xdr:from>
    <xdr:to>
      <xdr:col>2</xdr:col>
      <xdr:colOff>187429</xdr:colOff>
      <xdr:row>13</xdr:row>
      <xdr:rowOff>84482</xdr:rowOff>
    </xdr:to>
    <xdr:sp macro="" textlink="">
      <xdr:nvSpPr>
        <xdr:cNvPr id="151" name="object 5">
          <a:extLst>
            <a:ext uri="{FF2B5EF4-FFF2-40B4-BE49-F238E27FC236}">
              <a16:creationId xmlns:a16="http://schemas.microsoft.com/office/drawing/2014/main" id="{69230B98-C61B-4D6C-B5BE-D02722CBD664}"/>
            </a:ext>
          </a:extLst>
        </xdr:cNvPr>
        <xdr:cNvSpPr txBox="1"/>
      </xdr:nvSpPr>
      <xdr:spPr>
        <a:xfrm>
          <a:off x="461596" y="2351942"/>
          <a:ext cx="1249833" cy="209040"/>
        </a:xfrm>
        <a:prstGeom prst="rect">
          <a:avLst/>
        </a:prstGeom>
        <a:solidFill>
          <a:srgbClr val="7BAE5F"/>
        </a:solidFill>
      </xdr:spPr>
      <xdr:txBody>
        <a:bodyPr vert="horz" wrap="square" lIns="0" tIns="27305" rIns="0" bIns="0" rtlCol="0">
          <a:no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243840">
            <a:lnSpc>
              <a:spcPct val="100000"/>
            </a:lnSpc>
            <a:spcBef>
              <a:spcPts val="215"/>
            </a:spcBef>
          </a:pPr>
          <a:r>
            <a:rPr sz="800" b="1" spc="-10">
              <a:solidFill>
                <a:srgbClr val="FFFFFF"/>
              </a:solidFill>
              <a:latin typeface="Trebuchet MS"/>
              <a:cs typeface="Trebuchet MS"/>
            </a:rPr>
            <a:t>Consumo</a:t>
          </a:r>
          <a:r>
            <a:rPr sz="800" b="1" spc="-40">
              <a:solidFill>
                <a:srgbClr val="FFFFFF"/>
              </a:solidFill>
              <a:latin typeface="Trebuchet MS"/>
              <a:cs typeface="Trebuchet MS"/>
            </a:rPr>
            <a:t> </a:t>
          </a:r>
          <a:r>
            <a:rPr sz="800" b="1" spc="-10">
              <a:solidFill>
                <a:srgbClr val="FFFFFF"/>
              </a:solidFill>
              <a:latin typeface="Trebuchet MS"/>
              <a:cs typeface="Trebuchet MS"/>
            </a:rPr>
            <a:t>Actual</a:t>
          </a:r>
          <a:endParaRPr sz="800">
            <a:latin typeface="Trebuchet MS"/>
            <a:cs typeface="Trebuchet MS"/>
          </a:endParaRPr>
        </a:p>
      </xdr:txBody>
    </xdr:sp>
    <xdr:clientData/>
  </xdr:twoCellAnchor>
  <xdr:twoCellAnchor>
    <xdr:from>
      <xdr:col>2</xdr:col>
      <xdr:colOff>278424</xdr:colOff>
      <xdr:row>12</xdr:row>
      <xdr:rowOff>80596</xdr:rowOff>
    </xdr:from>
    <xdr:to>
      <xdr:col>4</xdr:col>
      <xdr:colOff>11968</xdr:colOff>
      <xdr:row>13</xdr:row>
      <xdr:rowOff>85289</xdr:rowOff>
    </xdr:to>
    <xdr:sp macro="" textlink="">
      <xdr:nvSpPr>
        <xdr:cNvPr id="153" name="object 7">
          <a:extLst>
            <a:ext uri="{FF2B5EF4-FFF2-40B4-BE49-F238E27FC236}">
              <a16:creationId xmlns:a16="http://schemas.microsoft.com/office/drawing/2014/main" id="{47521A0B-C03C-46C3-B58B-8F770FB95B1B}"/>
            </a:ext>
          </a:extLst>
        </xdr:cNvPr>
        <xdr:cNvSpPr txBox="1"/>
      </xdr:nvSpPr>
      <xdr:spPr>
        <a:xfrm>
          <a:off x="1802424" y="2366596"/>
          <a:ext cx="1257544" cy="195193"/>
        </a:xfrm>
        <a:prstGeom prst="rect">
          <a:avLst/>
        </a:prstGeom>
        <a:solidFill>
          <a:srgbClr val="7BAE5F"/>
        </a:solidFill>
      </xdr:spPr>
      <xdr:txBody>
        <a:bodyPr vert="horz" wrap="square" lIns="0" tIns="28575" rIns="0" bIns="0" rtlCol="0">
          <a:no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133350">
            <a:lnSpc>
              <a:spcPct val="100000"/>
            </a:lnSpc>
            <a:spcBef>
              <a:spcPts val="225"/>
            </a:spcBef>
          </a:pPr>
          <a:r>
            <a:rPr sz="800" b="1" spc="-10">
              <a:solidFill>
                <a:srgbClr val="FFFFFF"/>
              </a:solidFill>
              <a:latin typeface="Trebuchet MS"/>
              <a:cs typeface="Trebuchet MS"/>
            </a:rPr>
            <a:t>Consumo</a:t>
          </a:r>
          <a:r>
            <a:rPr sz="800" b="1" spc="-45">
              <a:solidFill>
                <a:srgbClr val="FFFFFF"/>
              </a:solidFill>
              <a:latin typeface="Trebuchet MS"/>
              <a:cs typeface="Trebuchet MS"/>
            </a:rPr>
            <a:t> </a:t>
          </a:r>
          <a:r>
            <a:rPr sz="800" b="1" spc="-5">
              <a:solidFill>
                <a:srgbClr val="FFFFFF"/>
              </a:solidFill>
              <a:latin typeface="Trebuchet MS"/>
              <a:cs typeface="Trebuchet MS"/>
            </a:rPr>
            <a:t>Acumulado</a:t>
          </a:r>
          <a:endParaRPr sz="800">
            <a:latin typeface="Trebuchet MS"/>
            <a:cs typeface="Trebuchet MS"/>
          </a:endParaRPr>
        </a:p>
      </xdr:txBody>
    </xdr:sp>
    <xdr:clientData/>
  </xdr:twoCellAnchor>
  <xdr:twoCellAnchor>
    <xdr:from>
      <xdr:col>2</xdr:col>
      <xdr:colOff>278423</xdr:colOff>
      <xdr:row>13</xdr:row>
      <xdr:rowOff>109904</xdr:rowOff>
    </xdr:from>
    <xdr:to>
      <xdr:col>3</xdr:col>
      <xdr:colOff>494127</xdr:colOff>
      <xdr:row>15</xdr:row>
      <xdr:rowOff>22384</xdr:rowOff>
    </xdr:to>
    <xdr:sp macro="" textlink="$O$56">
      <xdr:nvSpPr>
        <xdr:cNvPr id="154" name="object 19">
          <a:extLst>
            <a:ext uri="{FF2B5EF4-FFF2-40B4-BE49-F238E27FC236}">
              <a16:creationId xmlns:a16="http://schemas.microsoft.com/office/drawing/2014/main" id="{9A5207E6-6F1C-475E-9A52-E5C1D91C689C}"/>
            </a:ext>
          </a:extLst>
        </xdr:cNvPr>
        <xdr:cNvSpPr txBox="1"/>
      </xdr:nvSpPr>
      <xdr:spPr>
        <a:xfrm>
          <a:off x="1802423" y="2586404"/>
          <a:ext cx="977704" cy="293480"/>
        </a:xfrm>
        <a:prstGeom prst="rect">
          <a:avLst/>
        </a:prstGeom>
      </xdr:spPr>
      <xdr:txBody>
        <a:bodyPr vert="horz" wrap="square" lIns="0" tIns="13970" rIns="0" bIns="0" rtlCol="0" anchor="ctr">
          <a:no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12700" indent="0" algn="ctr" defTabSz="914400" rtl="0" eaLnBrk="1" latinLnBrk="0" hangingPunct="1">
            <a:lnSpc>
              <a:spcPct val="100000"/>
            </a:lnSpc>
            <a:spcBef>
              <a:spcPts val="110"/>
            </a:spcBef>
            <a:tabLst>
              <a:tab pos="1339850" algn="l"/>
            </a:tabLst>
          </a:pPr>
          <a:fld id="{95040F32-DF69-4471-96B8-A1BA1A06E3EE}" type="TxLink">
            <a:rPr lang="en-US" sz="1100" b="1" i="0" u="none" strike="noStrike" kern="1200" spc="5">
              <a:solidFill>
                <a:srgbClr val="34523B"/>
              </a:solidFill>
              <a:latin typeface="Trebuchet MS" panose="020B0603020202020204" pitchFamily="34" charset="0"/>
              <a:ea typeface="Calibri"/>
              <a:cs typeface="Calibri"/>
            </a:rPr>
            <a:pPr marL="12700" indent="0" algn="ctr" defTabSz="914400" rtl="0" eaLnBrk="1" latinLnBrk="0" hangingPunct="1">
              <a:lnSpc>
                <a:spcPct val="100000"/>
              </a:lnSpc>
              <a:spcBef>
                <a:spcPts val="110"/>
              </a:spcBef>
              <a:tabLst>
                <a:tab pos="1339850" algn="l"/>
              </a:tabLst>
            </a:pPr>
            <a:t>118.224,50</a:t>
          </a:fld>
          <a:endParaRPr sz="1100" b="1" i="0" u="none" strike="noStrike" kern="1200" spc="5">
            <a:solidFill>
              <a:srgbClr val="34523B"/>
            </a:solidFill>
            <a:latin typeface="Trebuchet MS" panose="020B0603020202020204" pitchFamily="34" charset="0"/>
            <a:ea typeface="Calibri"/>
            <a:cs typeface="Calibri"/>
          </a:endParaRPr>
        </a:p>
      </xdr:txBody>
    </xdr:sp>
    <xdr:clientData/>
  </xdr:twoCellAnchor>
  <xdr:twoCellAnchor>
    <xdr:from>
      <xdr:col>3</xdr:col>
      <xdr:colOff>445477</xdr:colOff>
      <xdr:row>13</xdr:row>
      <xdr:rowOff>108438</xdr:rowOff>
    </xdr:from>
    <xdr:to>
      <xdr:col>4</xdr:col>
      <xdr:colOff>7057</xdr:colOff>
      <xdr:row>15</xdr:row>
      <xdr:rowOff>20918</xdr:rowOff>
    </xdr:to>
    <xdr:sp macro="" textlink="">
      <xdr:nvSpPr>
        <xdr:cNvPr id="155" name="object 19">
          <a:extLst>
            <a:ext uri="{FF2B5EF4-FFF2-40B4-BE49-F238E27FC236}">
              <a16:creationId xmlns:a16="http://schemas.microsoft.com/office/drawing/2014/main" id="{10D26BC7-6892-4A2D-883D-278316399CD0}"/>
            </a:ext>
          </a:extLst>
        </xdr:cNvPr>
        <xdr:cNvSpPr txBox="1"/>
      </xdr:nvSpPr>
      <xdr:spPr>
        <a:xfrm>
          <a:off x="2731477" y="2584938"/>
          <a:ext cx="323580" cy="293480"/>
        </a:xfrm>
        <a:prstGeom prst="rect">
          <a:avLst/>
        </a:prstGeom>
      </xdr:spPr>
      <xdr:txBody>
        <a:bodyPr vert="horz" wrap="square" lIns="0" tIns="13970" rIns="0" bIns="0" rtlCol="0" anchor="ctr">
          <a:no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12700" algn="ctr">
            <a:lnSpc>
              <a:spcPct val="100000"/>
            </a:lnSpc>
            <a:spcBef>
              <a:spcPts val="110"/>
            </a:spcBef>
            <a:tabLst>
              <a:tab pos="1339850" algn="l"/>
            </a:tabLst>
          </a:pPr>
          <a:r>
            <a:rPr lang="es-MX" sz="1250" b="1" spc="5">
              <a:solidFill>
                <a:srgbClr val="22362C"/>
              </a:solidFill>
              <a:latin typeface="Trebuchet MS"/>
              <a:cs typeface="Trebuchet MS"/>
            </a:rPr>
            <a:t>   </a:t>
          </a:r>
          <a:r>
            <a:rPr lang="es-MX" sz="1250" b="1" spc="5" baseline="0">
              <a:solidFill>
                <a:srgbClr val="22362C"/>
              </a:solidFill>
              <a:latin typeface="Trebuchet MS"/>
              <a:cs typeface="Trebuchet MS"/>
            </a:rPr>
            <a:t>       </a:t>
          </a:r>
          <a:r>
            <a:rPr sz="1100" b="1">
              <a:solidFill>
                <a:srgbClr val="34523B"/>
              </a:solidFill>
              <a:latin typeface="Trebuchet MS"/>
              <a:cs typeface="Trebuchet MS"/>
            </a:rPr>
            <a:t>kwh</a:t>
          </a:r>
          <a:r>
            <a:rPr sz="1250" b="1">
              <a:solidFill>
                <a:srgbClr val="22362C"/>
              </a:solidFill>
              <a:latin typeface="Trebuchet MS"/>
              <a:cs typeface="Trebuchet MS"/>
            </a:rPr>
            <a:t>	</a:t>
          </a:r>
          <a:r>
            <a:rPr lang="es-MX" sz="1250" b="1">
              <a:solidFill>
                <a:srgbClr val="22362C"/>
              </a:solidFill>
              <a:latin typeface="Trebuchet MS"/>
              <a:cs typeface="Trebuchet MS"/>
            </a:rPr>
            <a:t> </a:t>
          </a:r>
          <a:endParaRPr sz="1875" baseline="2222">
            <a:latin typeface="Trebuchet MS"/>
            <a:cs typeface="Trebuchet MS"/>
          </a:endParaRPr>
        </a:p>
      </xdr:txBody>
    </xdr:sp>
    <xdr:clientData/>
  </xdr:twoCellAnchor>
  <xdr:twoCellAnchor>
    <xdr:from>
      <xdr:col>0</xdr:col>
      <xdr:colOff>197825</xdr:colOff>
      <xdr:row>27</xdr:row>
      <xdr:rowOff>80596</xdr:rowOff>
    </xdr:from>
    <xdr:to>
      <xdr:col>1</xdr:col>
      <xdr:colOff>171026</xdr:colOff>
      <xdr:row>28</xdr:row>
      <xdr:rowOff>26480</xdr:rowOff>
    </xdr:to>
    <xdr:sp macro="" textlink="">
      <xdr:nvSpPr>
        <xdr:cNvPr id="156" name="object 24">
          <a:extLst>
            <a:ext uri="{FF2B5EF4-FFF2-40B4-BE49-F238E27FC236}">
              <a16:creationId xmlns:a16="http://schemas.microsoft.com/office/drawing/2014/main" id="{BE6F420C-9739-4BA8-A1C0-9AB9A0D4B25A}"/>
            </a:ext>
          </a:extLst>
        </xdr:cNvPr>
        <xdr:cNvSpPr txBox="1"/>
      </xdr:nvSpPr>
      <xdr:spPr>
        <a:xfrm>
          <a:off x="197825" y="5224096"/>
          <a:ext cx="735201" cy="136384"/>
        </a:xfrm>
        <a:prstGeom prst="rect">
          <a:avLst/>
        </a:prstGeom>
      </xdr:spPr>
      <xdr:txBody>
        <a:bodyPr vert="horz" wrap="square" lIns="0" tIns="17145" rIns="0" bIns="0" rtlCol="0">
          <a:sp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12700">
            <a:lnSpc>
              <a:spcPct val="100000"/>
            </a:lnSpc>
            <a:spcBef>
              <a:spcPts val="135"/>
            </a:spcBef>
          </a:pPr>
          <a:r>
            <a:rPr sz="800" b="1" spc="15">
              <a:solidFill>
                <a:srgbClr val="2E463A"/>
              </a:solidFill>
              <a:latin typeface="Trebuchet MS"/>
              <a:cs typeface="Trebuchet MS"/>
            </a:rPr>
            <a:t>Cantidad:</a:t>
          </a:r>
          <a:endParaRPr sz="800">
            <a:latin typeface="Trebuchet MS"/>
            <a:cs typeface="Trebuchet MS"/>
          </a:endParaRPr>
        </a:p>
      </xdr:txBody>
    </xdr:sp>
    <xdr:clientData/>
  </xdr:twoCellAnchor>
  <xdr:twoCellAnchor>
    <xdr:from>
      <xdr:col>0</xdr:col>
      <xdr:colOff>725366</xdr:colOff>
      <xdr:row>27</xdr:row>
      <xdr:rowOff>51289</xdr:rowOff>
    </xdr:from>
    <xdr:to>
      <xdr:col>2</xdr:col>
      <xdr:colOff>118119</xdr:colOff>
      <xdr:row>28</xdr:row>
      <xdr:rowOff>25706</xdr:rowOff>
    </xdr:to>
    <xdr:sp macro="" textlink="$O$58">
      <xdr:nvSpPr>
        <xdr:cNvPr id="158" name="object 25">
          <a:extLst>
            <a:ext uri="{FF2B5EF4-FFF2-40B4-BE49-F238E27FC236}">
              <a16:creationId xmlns:a16="http://schemas.microsoft.com/office/drawing/2014/main" id="{0C714239-41B0-4851-9FCA-9AC0E90813B1}"/>
            </a:ext>
          </a:extLst>
        </xdr:cNvPr>
        <xdr:cNvSpPr txBox="1"/>
      </xdr:nvSpPr>
      <xdr:spPr>
        <a:xfrm>
          <a:off x="725366" y="5194789"/>
          <a:ext cx="916753" cy="164917"/>
        </a:xfrm>
        <a:prstGeom prst="rect">
          <a:avLst/>
        </a:prstGeom>
      </xdr:spPr>
      <xdr:txBody>
        <a:bodyPr vert="horz" wrap="square" lIns="0" tIns="15875" rIns="0" bIns="0" rtlCol="0">
          <a:sp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12700" indent="0" algn="l" defTabSz="914400" rtl="0" eaLnBrk="1" latinLnBrk="0" hangingPunct="1">
            <a:lnSpc>
              <a:spcPct val="100000"/>
            </a:lnSpc>
            <a:spcBef>
              <a:spcPts val="125"/>
            </a:spcBef>
          </a:pPr>
          <a:fld id="{AB4320D6-205C-412D-8BF3-89C2E6266D9B}" type="TxLink">
            <a:rPr lang="en-US" sz="1000" b="1" i="0" u="none" strike="noStrike" kern="1200" spc="15">
              <a:solidFill>
                <a:srgbClr val="34523B"/>
              </a:solidFill>
              <a:latin typeface="Trebuchet MS" panose="020B0603020202020204" pitchFamily="34" charset="0"/>
              <a:ea typeface="Calibri"/>
              <a:cs typeface="Calibri"/>
            </a:rPr>
            <a:pPr marL="12700" indent="0" algn="l" defTabSz="914400" rtl="0" eaLnBrk="1" latinLnBrk="0" hangingPunct="1">
              <a:lnSpc>
                <a:spcPct val="100000"/>
              </a:lnSpc>
              <a:spcBef>
                <a:spcPts val="125"/>
              </a:spcBef>
            </a:pPr>
            <a:t>16.218,10</a:t>
          </a:fld>
          <a:endParaRPr sz="1000" b="1" i="0" u="none" strike="noStrike" kern="1200" spc="15">
            <a:solidFill>
              <a:srgbClr val="34523B"/>
            </a:solidFill>
            <a:latin typeface="Trebuchet MS" panose="020B0603020202020204" pitchFamily="34" charset="0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718039</xdr:colOff>
      <xdr:row>27</xdr:row>
      <xdr:rowOff>51288</xdr:rowOff>
    </xdr:from>
    <xdr:to>
      <xdr:col>2</xdr:col>
      <xdr:colOff>274403</xdr:colOff>
      <xdr:row>28</xdr:row>
      <xdr:rowOff>25705</xdr:rowOff>
    </xdr:to>
    <xdr:sp macro="" textlink="">
      <xdr:nvSpPr>
        <xdr:cNvPr id="160" name="object 25">
          <a:extLst>
            <a:ext uri="{FF2B5EF4-FFF2-40B4-BE49-F238E27FC236}">
              <a16:creationId xmlns:a16="http://schemas.microsoft.com/office/drawing/2014/main" id="{4F741510-A712-40C1-B4B4-85A16A5AA74C}"/>
            </a:ext>
          </a:extLst>
        </xdr:cNvPr>
        <xdr:cNvSpPr txBox="1"/>
      </xdr:nvSpPr>
      <xdr:spPr>
        <a:xfrm>
          <a:off x="1480039" y="5194788"/>
          <a:ext cx="318364" cy="164917"/>
        </a:xfrm>
        <a:prstGeom prst="rect">
          <a:avLst/>
        </a:prstGeom>
      </xdr:spPr>
      <xdr:txBody>
        <a:bodyPr vert="horz" wrap="square" lIns="0" tIns="15875" rIns="0" bIns="0" rtlCol="0">
          <a:sp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12700">
            <a:lnSpc>
              <a:spcPct val="100000"/>
            </a:lnSpc>
            <a:spcBef>
              <a:spcPts val="125"/>
            </a:spcBef>
          </a:pPr>
          <a:r>
            <a:rPr sz="1000" b="0" spc="15">
              <a:solidFill>
                <a:schemeClr val="accent6">
                  <a:lumMod val="50000"/>
                </a:schemeClr>
              </a:solidFill>
              <a:latin typeface="Trebuchet MS"/>
              <a:cs typeface="Trebuchet MS"/>
            </a:rPr>
            <a:t>k</a:t>
          </a:r>
          <a:r>
            <a:rPr lang="es-CO" sz="1000" b="0" spc="15">
              <a:solidFill>
                <a:schemeClr val="accent6">
                  <a:lumMod val="50000"/>
                </a:schemeClr>
              </a:solidFill>
              <a:latin typeface="Trebuchet MS"/>
              <a:cs typeface="Trebuchet MS"/>
            </a:rPr>
            <a:t>W</a:t>
          </a:r>
          <a:r>
            <a:rPr sz="1000" b="0" spc="15">
              <a:solidFill>
                <a:schemeClr val="accent6">
                  <a:lumMod val="50000"/>
                </a:schemeClr>
              </a:solidFill>
              <a:latin typeface="Trebuchet MS"/>
              <a:cs typeface="Trebuchet MS"/>
            </a:rPr>
            <a:t>h</a:t>
          </a:r>
          <a:endParaRPr sz="1000" b="0">
            <a:solidFill>
              <a:schemeClr val="accent6">
                <a:lumMod val="50000"/>
              </a:schemeClr>
            </a:solidFill>
            <a:latin typeface="Trebuchet MS"/>
            <a:cs typeface="Trebuchet MS"/>
          </a:endParaRPr>
        </a:p>
      </xdr:txBody>
    </xdr:sp>
    <xdr:clientData/>
  </xdr:twoCellAnchor>
  <xdr:twoCellAnchor>
    <xdr:from>
      <xdr:col>0</xdr:col>
      <xdr:colOff>190500</xdr:colOff>
      <xdr:row>28</xdr:row>
      <xdr:rowOff>51288</xdr:rowOff>
    </xdr:from>
    <xdr:to>
      <xdr:col>1</xdr:col>
      <xdr:colOff>148456</xdr:colOff>
      <xdr:row>28</xdr:row>
      <xdr:rowOff>184270</xdr:rowOff>
    </xdr:to>
    <xdr:sp macro="" textlink="">
      <xdr:nvSpPr>
        <xdr:cNvPr id="161" name="object 26">
          <a:extLst>
            <a:ext uri="{FF2B5EF4-FFF2-40B4-BE49-F238E27FC236}">
              <a16:creationId xmlns:a16="http://schemas.microsoft.com/office/drawing/2014/main" id="{20FDDC5D-1EB1-45A0-B1EB-E85FE4E541E1}"/>
            </a:ext>
          </a:extLst>
        </xdr:cNvPr>
        <xdr:cNvSpPr txBox="1"/>
      </xdr:nvSpPr>
      <xdr:spPr>
        <a:xfrm>
          <a:off x="190500" y="5385288"/>
          <a:ext cx="719956" cy="132982"/>
        </a:xfrm>
        <a:prstGeom prst="rect">
          <a:avLst/>
        </a:prstGeom>
      </xdr:spPr>
      <xdr:txBody>
        <a:bodyPr vert="horz" wrap="square" lIns="0" tIns="17145" rIns="0" bIns="0" rtlCol="0">
          <a:sp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12700">
            <a:lnSpc>
              <a:spcPct val="100000"/>
            </a:lnSpc>
            <a:spcBef>
              <a:spcPts val="135"/>
            </a:spcBef>
          </a:pPr>
          <a:r>
            <a:rPr sz="800" b="1" spc="15">
              <a:solidFill>
                <a:srgbClr val="2E463A"/>
              </a:solidFill>
              <a:latin typeface="Trebuchet MS"/>
              <a:cs typeface="Trebuchet MS"/>
            </a:rPr>
            <a:t>Costo</a:t>
          </a:r>
          <a:r>
            <a:rPr sz="800" b="1" spc="-5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800" b="1" spc="15">
              <a:solidFill>
                <a:srgbClr val="2E463A"/>
              </a:solidFill>
              <a:latin typeface="Trebuchet MS"/>
              <a:cs typeface="Trebuchet MS"/>
            </a:rPr>
            <a:t>Unidad: </a:t>
          </a:r>
          <a:endParaRPr sz="1050" baseline="3968">
            <a:latin typeface="Trebuchet MS"/>
            <a:cs typeface="Trebuchet MS"/>
          </a:endParaRPr>
        </a:p>
      </xdr:txBody>
    </xdr:sp>
    <xdr:clientData/>
  </xdr:twoCellAnchor>
  <xdr:twoCellAnchor>
    <xdr:from>
      <xdr:col>1</xdr:col>
      <xdr:colOff>168519</xdr:colOff>
      <xdr:row>28</xdr:row>
      <xdr:rowOff>29308</xdr:rowOff>
    </xdr:from>
    <xdr:to>
      <xdr:col>2</xdr:col>
      <xdr:colOff>486246</xdr:colOff>
      <xdr:row>29</xdr:row>
      <xdr:rowOff>3725</xdr:rowOff>
    </xdr:to>
    <xdr:sp macro="" textlink="$O$59">
      <xdr:nvSpPr>
        <xdr:cNvPr id="162" name="object 25">
          <a:extLst>
            <a:ext uri="{FF2B5EF4-FFF2-40B4-BE49-F238E27FC236}">
              <a16:creationId xmlns:a16="http://schemas.microsoft.com/office/drawing/2014/main" id="{3D5F0EAA-209A-45F5-B1D1-7A37278A0140}"/>
            </a:ext>
          </a:extLst>
        </xdr:cNvPr>
        <xdr:cNvSpPr txBox="1"/>
      </xdr:nvSpPr>
      <xdr:spPr>
        <a:xfrm>
          <a:off x="930519" y="5363308"/>
          <a:ext cx="1079727" cy="164917"/>
        </a:xfrm>
        <a:prstGeom prst="rect">
          <a:avLst/>
        </a:prstGeom>
      </xdr:spPr>
      <xdr:txBody>
        <a:bodyPr vert="horz" wrap="square" lIns="0" tIns="15875" rIns="0" bIns="0" rtlCol="0">
          <a:sp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12700" indent="0" algn="l" defTabSz="914400" rtl="0" eaLnBrk="1" latinLnBrk="0" hangingPunct="1">
            <a:lnSpc>
              <a:spcPct val="100000"/>
            </a:lnSpc>
            <a:spcBef>
              <a:spcPts val="125"/>
            </a:spcBef>
          </a:pPr>
          <a:fld id="{1DF4ED85-5C47-4BAB-ACC6-F8C878E8C417}" type="TxLink">
            <a:rPr lang="en-US" sz="1000" b="1" i="0" u="none" strike="noStrike" kern="1200" spc="15">
              <a:solidFill>
                <a:srgbClr val="34523B"/>
              </a:solidFill>
              <a:latin typeface="Trebuchet MS" panose="020B0603020202020204" pitchFamily="34" charset="0"/>
              <a:ea typeface="Calibri"/>
              <a:cs typeface="Calibri"/>
            </a:rPr>
            <a:pPr marL="12700" indent="0" algn="l" defTabSz="914400" rtl="0" eaLnBrk="1" latinLnBrk="0" hangingPunct="1">
              <a:lnSpc>
                <a:spcPct val="100000"/>
              </a:lnSpc>
              <a:spcBef>
                <a:spcPts val="125"/>
              </a:spcBef>
            </a:pPr>
            <a:t>458,36</a:t>
          </a:fld>
          <a:endParaRPr sz="1000" b="1" i="0" u="none" strike="noStrike" kern="1200" spc="15">
            <a:solidFill>
              <a:srgbClr val="34523B"/>
            </a:solidFill>
            <a:latin typeface="Trebuchet MS" panose="020B0603020202020204" pitchFamily="34" charset="0"/>
            <a:ea typeface="Calibri"/>
            <a:cs typeface="Calibri"/>
          </a:endParaRPr>
        </a:p>
      </xdr:txBody>
    </xdr:sp>
    <xdr:clientData/>
  </xdr:twoCellAnchor>
  <xdr:twoCellAnchor>
    <xdr:from>
      <xdr:col>2</xdr:col>
      <xdr:colOff>593481</xdr:colOff>
      <xdr:row>31</xdr:row>
      <xdr:rowOff>101109</xdr:rowOff>
    </xdr:from>
    <xdr:to>
      <xdr:col>4</xdr:col>
      <xdr:colOff>452806</xdr:colOff>
      <xdr:row>32</xdr:row>
      <xdr:rowOff>7326</xdr:rowOff>
    </xdr:to>
    <xdr:sp macro="" textlink="$O$32">
      <xdr:nvSpPr>
        <xdr:cNvPr id="163" name="CuadroTexto 162">
          <a:extLst>
            <a:ext uri="{FF2B5EF4-FFF2-40B4-BE49-F238E27FC236}">
              <a16:creationId xmlns:a16="http://schemas.microsoft.com/office/drawing/2014/main" id="{7FDF6ED8-11E8-4B35-8F1C-5B25204C35DC}"/>
            </a:ext>
          </a:extLst>
        </xdr:cNvPr>
        <xdr:cNvSpPr txBox="1"/>
      </xdr:nvSpPr>
      <xdr:spPr>
        <a:xfrm>
          <a:off x="2117481" y="6006609"/>
          <a:ext cx="1383325" cy="967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320B89D6-92DF-4F63-87F0-25F53BC426B4}" type="TxLink">
            <a:rPr lang="en-US" sz="600" b="1" i="0" u="none" strike="noStrike" kern="1200" spc="5">
              <a:solidFill>
                <a:srgbClr val="000000"/>
              </a:solidFill>
              <a:latin typeface="Trebuchet MS"/>
              <a:ea typeface="Calibri"/>
              <a:cs typeface="Calibri"/>
            </a:rPr>
            <a:pPr algn="r"/>
            <a:t>8.433.697,28</a:t>
          </a:fld>
          <a:endParaRPr lang="es-CO" sz="600" b="1" kern="1200" spc="5">
            <a:solidFill>
              <a:sysClr val="windowText" lastClr="000000"/>
            </a:solidFill>
            <a:latin typeface="Trebuchet MS"/>
            <a:ea typeface="+mn-ea"/>
            <a:cs typeface="Trebuchet MS"/>
          </a:endParaRPr>
        </a:p>
      </xdr:txBody>
    </xdr:sp>
    <xdr:clientData/>
  </xdr:twoCellAnchor>
  <xdr:twoCellAnchor>
    <xdr:from>
      <xdr:col>1</xdr:col>
      <xdr:colOff>137746</xdr:colOff>
      <xdr:row>30</xdr:row>
      <xdr:rowOff>150660</xdr:rowOff>
    </xdr:from>
    <xdr:to>
      <xdr:col>2</xdr:col>
      <xdr:colOff>364880</xdr:colOff>
      <xdr:row>31</xdr:row>
      <xdr:rowOff>79132</xdr:rowOff>
    </xdr:to>
    <xdr:sp macro="" textlink="$O$31">
      <xdr:nvSpPr>
        <xdr:cNvPr id="164" name="CuadroTexto 163">
          <a:extLst>
            <a:ext uri="{FF2B5EF4-FFF2-40B4-BE49-F238E27FC236}">
              <a16:creationId xmlns:a16="http://schemas.microsoft.com/office/drawing/2014/main" id="{2125A15C-F11D-402F-A45A-F4C408CC9AEB}"/>
            </a:ext>
          </a:extLst>
        </xdr:cNvPr>
        <xdr:cNvSpPr txBox="1"/>
      </xdr:nvSpPr>
      <xdr:spPr>
        <a:xfrm>
          <a:off x="899746" y="5865660"/>
          <a:ext cx="989134" cy="11897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B3AB8D9-586F-4BEA-B7E8-F33782A130B4}" type="TxLink">
            <a:rPr lang="en-US" sz="600" b="1" i="0" u="none" strike="noStrike" kern="1200" spc="5">
              <a:solidFill>
                <a:srgbClr val="000000"/>
              </a:solidFill>
              <a:latin typeface="Trebuchet MS"/>
              <a:ea typeface="+mn-ea"/>
              <a:cs typeface="Trebuchet MS"/>
            </a:rPr>
            <a:pPr algn="ctr"/>
            <a:t>2.753,44</a:t>
          </a:fld>
          <a:endParaRPr lang="es-CO" sz="600" b="0" kern="1200" spc="5">
            <a:solidFill>
              <a:srgbClr val="FF0000"/>
            </a:solidFill>
            <a:latin typeface="Trebuchet MS"/>
            <a:ea typeface="+mn-ea"/>
            <a:cs typeface="Trebuchet MS"/>
          </a:endParaRPr>
        </a:p>
      </xdr:txBody>
    </xdr:sp>
    <xdr:clientData/>
  </xdr:twoCellAnchor>
  <xdr:twoCellAnchor>
    <xdr:from>
      <xdr:col>3</xdr:col>
      <xdr:colOff>315059</xdr:colOff>
      <xdr:row>30</xdr:row>
      <xdr:rowOff>145069</xdr:rowOff>
    </xdr:from>
    <xdr:to>
      <xdr:col>4</xdr:col>
      <xdr:colOff>446943</xdr:colOff>
      <xdr:row>31</xdr:row>
      <xdr:rowOff>87922</xdr:rowOff>
    </xdr:to>
    <xdr:sp macro="" textlink="$O$30">
      <xdr:nvSpPr>
        <xdr:cNvPr id="165" name="CuadroTexto 164">
          <a:extLst>
            <a:ext uri="{FF2B5EF4-FFF2-40B4-BE49-F238E27FC236}">
              <a16:creationId xmlns:a16="http://schemas.microsoft.com/office/drawing/2014/main" id="{D8925ACD-5A5E-4929-9BB6-54567DA93F3B}"/>
            </a:ext>
          </a:extLst>
        </xdr:cNvPr>
        <xdr:cNvSpPr txBox="1"/>
      </xdr:nvSpPr>
      <xdr:spPr>
        <a:xfrm>
          <a:off x="2601059" y="5860069"/>
          <a:ext cx="893884" cy="13335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6D5653AC-30BE-4ADA-A231-1E4B864C71D7}" type="TxLink">
            <a:rPr lang="en-US" sz="600" b="1" i="0" u="none" strike="noStrike" kern="1200" spc="5">
              <a:solidFill>
                <a:srgbClr val="000000"/>
              </a:solidFill>
              <a:latin typeface="Trebuchet MS"/>
              <a:ea typeface="Calibri"/>
              <a:cs typeface="Calibri"/>
            </a:rPr>
            <a:pPr algn="r"/>
            <a:t>$ 999.968,88</a:t>
          </a:fld>
          <a:endParaRPr lang="es-CO" sz="600" b="1" kern="1200" spc="5">
            <a:solidFill>
              <a:srgbClr val="22362C"/>
            </a:solidFill>
            <a:latin typeface="Trebuchet MS" panose="020B0603020202020204" pitchFamily="34" charset="0"/>
            <a:ea typeface="+mn-ea"/>
            <a:cs typeface="Trebuchet MS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F0DAC3-9C47-4372-9E60-18631F934FFA}">
  <sheetPr codeName="Hoja6"/>
  <dimension ref="B5:P37"/>
  <sheetViews>
    <sheetView showGridLines="0" topLeftCell="C5" zoomScaleNormal="100" workbookViewId="0">
      <pane ySplit="1" topLeftCell="A6" activePane="bottomLeft" state="frozen"/>
      <selection activeCell="A5" sqref="A5"/>
      <selection pane="bottomLeft" activeCell="P11" sqref="P11"/>
    </sheetView>
  </sheetViews>
  <sheetFormatPr baseColWidth="10" defaultColWidth="11.42578125" defaultRowHeight="15" x14ac:dyDescent="0.25"/>
  <cols>
    <col min="2" max="2" width="22.7109375" bestFit="1" customWidth="1"/>
    <col min="3" max="3" width="14.85546875" bestFit="1" customWidth="1"/>
    <col min="4" max="4" width="14.28515625" customWidth="1"/>
    <col min="5" max="5" width="16.7109375" customWidth="1"/>
    <col min="6" max="6" width="18.28515625" bestFit="1" customWidth="1"/>
    <col min="7" max="7" width="16" bestFit="1" customWidth="1"/>
    <col min="8" max="8" width="14.85546875" bestFit="1" customWidth="1"/>
    <col min="9" max="9" width="15.42578125" bestFit="1" customWidth="1"/>
    <col min="10" max="10" width="15.42578125" customWidth="1"/>
    <col min="11" max="11" width="12.85546875" bestFit="1" customWidth="1"/>
    <col min="12" max="13" width="17.42578125" bestFit="1" customWidth="1"/>
    <col min="14" max="14" width="17" customWidth="1"/>
    <col min="15" max="15" width="15.85546875" bestFit="1" customWidth="1"/>
    <col min="16" max="16" width="15" bestFit="1" customWidth="1"/>
    <col min="18" max="18" width="18.140625" customWidth="1"/>
    <col min="19" max="19" width="22.28515625" customWidth="1"/>
    <col min="20" max="20" width="20.7109375" customWidth="1"/>
    <col min="21" max="21" width="14.140625" bestFit="1" customWidth="1"/>
    <col min="22" max="22" width="13.140625" bestFit="1" customWidth="1"/>
  </cols>
  <sheetData>
    <row r="5" spans="2:16" ht="30" x14ac:dyDescent="0.25">
      <c r="B5" s="3" t="s">
        <v>0</v>
      </c>
      <c r="C5" s="2" t="s">
        <v>1</v>
      </c>
      <c r="D5" s="2" t="s">
        <v>2</v>
      </c>
      <c r="E5" s="2" t="s">
        <v>3</v>
      </c>
      <c r="F5" s="3" t="s">
        <v>4</v>
      </c>
      <c r="G5" s="2" t="s">
        <v>5</v>
      </c>
      <c r="H5" s="3" t="s">
        <v>6</v>
      </c>
      <c r="I5" s="2" t="s">
        <v>7</v>
      </c>
      <c r="J5" s="3" t="s">
        <v>8</v>
      </c>
      <c r="K5" s="2" t="s">
        <v>9</v>
      </c>
      <c r="L5" s="2" t="s">
        <v>10</v>
      </c>
      <c r="M5" s="2" t="s">
        <v>11</v>
      </c>
      <c r="N5" s="2" t="s">
        <v>12</v>
      </c>
      <c r="O5" s="2" t="s">
        <v>13</v>
      </c>
      <c r="P5" s="2" t="s">
        <v>14</v>
      </c>
    </row>
    <row r="6" spans="2:16" x14ac:dyDescent="0.25">
      <c r="B6" s="50">
        <v>45346</v>
      </c>
      <c r="C6" s="51">
        <v>18651.000100000001</v>
      </c>
      <c r="D6" s="52">
        <v>991968.875</v>
      </c>
      <c r="E6" s="52">
        <v>458.36</v>
      </c>
      <c r="F6" s="51">
        <f>0+E6</f>
        <v>458.36</v>
      </c>
      <c r="G6" s="49">
        <v>458.36</v>
      </c>
      <c r="H6" s="53">
        <f t="shared" ref="H6:H8" si="0">E6*G6</f>
        <v>210093.88960000002</v>
      </c>
      <c r="I6" s="49">
        <v>974.72</v>
      </c>
      <c r="J6" s="49"/>
      <c r="K6" s="49">
        <f t="shared" ref="K6:K10" si="1">G6</f>
        <v>458.36</v>
      </c>
      <c r="L6" s="49">
        <f t="shared" ref="L6:L10" si="2">I6-K6</f>
        <v>516.36</v>
      </c>
      <c r="M6" s="54">
        <v>9630630.4116360005</v>
      </c>
      <c r="N6" s="54">
        <f>0+M6</f>
        <v>9630630.4116360005</v>
      </c>
      <c r="O6" s="55">
        <f>C6*0.504</f>
        <v>9400.1040504000011</v>
      </c>
      <c r="P6" s="55">
        <f>0+O6</f>
        <v>9400.1040504000011</v>
      </c>
    </row>
    <row r="7" spans="2:16" x14ac:dyDescent="0.25">
      <c r="B7" s="50">
        <v>45375</v>
      </c>
      <c r="C7" s="51">
        <v>19587.800899999998</v>
      </c>
      <c r="D7" s="52">
        <v>993968.875</v>
      </c>
      <c r="E7" s="52">
        <v>458.36</v>
      </c>
      <c r="F7" s="51">
        <f t="shared" ref="F7:F10" si="3">F6+E7</f>
        <v>916.72</v>
      </c>
      <c r="G7" s="49">
        <v>458.36</v>
      </c>
      <c r="H7" s="53">
        <f t="shared" si="0"/>
        <v>210093.88960000002</v>
      </c>
      <c r="I7" s="49">
        <v>990.84</v>
      </c>
      <c r="J7" s="49"/>
      <c r="K7" s="49">
        <f t="shared" si="1"/>
        <v>458.36</v>
      </c>
      <c r="L7" s="49">
        <f t="shared" si="2"/>
        <v>532.48</v>
      </c>
      <c r="M7" s="54">
        <v>10430112.223231999</v>
      </c>
      <c r="N7" s="54">
        <f t="shared" ref="N7:N10" si="4">N6+M7</f>
        <v>20060742.634868</v>
      </c>
      <c r="O7" s="55">
        <f t="shared" ref="O7:O10" si="5">C7*0.504</f>
        <v>9872.2516535999985</v>
      </c>
      <c r="P7" s="55">
        <f t="shared" ref="P7:P10" si="6">P6+O7</f>
        <v>19272.355704000001</v>
      </c>
    </row>
    <row r="8" spans="2:16" ht="13.5" customHeight="1" x14ac:dyDescent="0.25">
      <c r="B8" s="50" t="s">
        <v>53</v>
      </c>
      <c r="C8" s="51">
        <v>22953.200700000001</v>
      </c>
      <c r="D8" s="56">
        <v>995968.875</v>
      </c>
      <c r="E8" s="52">
        <v>458.36</v>
      </c>
      <c r="F8" s="51">
        <f t="shared" si="3"/>
        <v>1375.08</v>
      </c>
      <c r="G8" s="49">
        <v>458.36</v>
      </c>
      <c r="H8" s="53">
        <f t="shared" si="0"/>
        <v>210093.88960000002</v>
      </c>
      <c r="I8" s="49">
        <v>1009.04</v>
      </c>
      <c r="J8" s="49"/>
      <c r="K8" s="49">
        <f t="shared" si="1"/>
        <v>458.36</v>
      </c>
      <c r="L8" s="49">
        <f t="shared" si="2"/>
        <v>550.67999999999995</v>
      </c>
      <c r="M8" s="54">
        <v>12639868.561476</v>
      </c>
      <c r="N8" s="54">
        <f t="shared" si="4"/>
        <v>32700611.196343999</v>
      </c>
      <c r="O8" s="55">
        <f t="shared" si="5"/>
        <v>11568.4131528</v>
      </c>
      <c r="P8" s="55">
        <f t="shared" si="6"/>
        <v>30840.768856800001</v>
      </c>
    </row>
    <row r="9" spans="2:16" ht="13.5" customHeight="1" x14ac:dyDescent="0.25">
      <c r="B9" s="50">
        <v>45436</v>
      </c>
      <c r="C9" s="57">
        <v>24797.700199999999</v>
      </c>
      <c r="D9" s="58">
        <v>997968.875</v>
      </c>
      <c r="E9" s="52">
        <v>458.36</v>
      </c>
      <c r="F9" s="51">
        <f t="shared" si="3"/>
        <v>1833.44</v>
      </c>
      <c r="G9" s="49">
        <v>458.36</v>
      </c>
      <c r="H9" s="53">
        <f>E9*G9</f>
        <v>210093.88960000002</v>
      </c>
      <c r="I9" s="49">
        <v>1062.3599999999999</v>
      </c>
      <c r="J9" s="49"/>
      <c r="K9" s="49">
        <f t="shared" si="1"/>
        <v>458.36</v>
      </c>
      <c r="L9" s="49">
        <f t="shared" si="2"/>
        <v>603.99999999999989</v>
      </c>
      <c r="M9" s="54">
        <v>14977810.920799997</v>
      </c>
      <c r="N9" s="54">
        <f t="shared" si="4"/>
        <v>47678422.117143996</v>
      </c>
      <c r="O9" s="55">
        <f t="shared" si="5"/>
        <v>12498.040900800001</v>
      </c>
      <c r="P9" s="55">
        <f t="shared" si="6"/>
        <v>43338.8097576</v>
      </c>
    </row>
    <row r="10" spans="2:16" ht="13.5" customHeight="1" x14ac:dyDescent="0.25">
      <c r="B10" s="50">
        <v>45467</v>
      </c>
      <c r="C10" s="57">
        <v>26304.499199999998</v>
      </c>
      <c r="D10" s="58">
        <v>999968.875</v>
      </c>
      <c r="E10" s="52">
        <v>458.36</v>
      </c>
      <c r="F10" s="51">
        <f t="shared" si="3"/>
        <v>2291.8000000000002</v>
      </c>
      <c r="G10" s="49">
        <v>458.36</v>
      </c>
      <c r="H10" s="59">
        <f>E10*G10</f>
        <v>210093.88960000002</v>
      </c>
      <c r="I10" s="49">
        <v>941.82</v>
      </c>
      <c r="J10" s="49"/>
      <c r="K10" s="49">
        <f t="shared" si="1"/>
        <v>458.36</v>
      </c>
      <c r="L10" s="49">
        <f t="shared" si="2"/>
        <v>483.46000000000004</v>
      </c>
      <c r="M10" s="54">
        <v>12717173.183232</v>
      </c>
      <c r="N10" s="54">
        <f t="shared" si="4"/>
        <v>60395595.300375998</v>
      </c>
      <c r="O10" s="55">
        <f t="shared" si="5"/>
        <v>13257.467596799999</v>
      </c>
      <c r="P10" s="55">
        <f t="shared" si="6"/>
        <v>56596.277354400001</v>
      </c>
    </row>
    <row r="11" spans="2:16" ht="13.5" customHeight="1" x14ac:dyDescent="0.4">
      <c r="B11" s="50">
        <v>45497</v>
      </c>
      <c r="C11" s="57">
        <v>16218.100200000001</v>
      </c>
      <c r="D11" s="58">
        <v>999968.875</v>
      </c>
      <c r="E11" s="52">
        <v>458.36</v>
      </c>
      <c r="F11" s="51">
        <f t="shared" ref="F11" si="7">F10+E11</f>
        <v>2750.1600000000003</v>
      </c>
      <c r="G11" s="49">
        <v>458.36</v>
      </c>
      <c r="H11" s="59">
        <f>E11*G11</f>
        <v>210093.88960000002</v>
      </c>
      <c r="I11" s="49">
        <v>2131</v>
      </c>
      <c r="J11" s="49"/>
      <c r="K11" s="49">
        <f t="shared" ref="K11" si="8">G11</f>
        <v>458.36</v>
      </c>
      <c r="L11" s="49">
        <f t="shared" ref="L11" si="9">I11-K11</f>
        <v>1672.6399999999999</v>
      </c>
      <c r="M11" s="54">
        <v>338206423.05472803</v>
      </c>
      <c r="N11" s="54">
        <f t="shared" ref="N11" si="10">N10+M11</f>
        <v>398602018.35510403</v>
      </c>
      <c r="O11" s="55">
        <f t="shared" ref="O11" si="11">C11*0.504</f>
        <v>8173.9225008000003</v>
      </c>
      <c r="P11" s="60">
        <f t="shared" ref="P11" si="12">P10+O11</f>
        <v>64770.1998552</v>
      </c>
    </row>
    <row r="12" spans="2:16" x14ac:dyDescent="0.25">
      <c r="B12" s="33"/>
    </row>
    <row r="13" spans="2:16" x14ac:dyDescent="0.25">
      <c r="H13" s="19"/>
      <c r="J13" s="12"/>
      <c r="O13" s="5"/>
    </row>
    <row r="16" spans="2:16" x14ac:dyDescent="0.25">
      <c r="B16" s="66"/>
      <c r="C16" s="7" t="s">
        <v>1</v>
      </c>
      <c r="D16" s="7" t="s">
        <v>2</v>
      </c>
      <c r="E16" s="67" t="s">
        <v>15</v>
      </c>
      <c r="F16" s="66" t="s">
        <v>16</v>
      </c>
      <c r="G16" s="67" t="s">
        <v>17</v>
      </c>
      <c r="H16" s="64"/>
      <c r="I16" s="64"/>
      <c r="J16" s="22"/>
    </row>
    <row r="17" spans="2:15" ht="24" x14ac:dyDescent="0.25">
      <c r="B17" s="66"/>
      <c r="C17" s="7" t="s">
        <v>18</v>
      </c>
      <c r="D17" s="7" t="s">
        <v>19</v>
      </c>
      <c r="E17" s="66"/>
      <c r="F17" s="66"/>
      <c r="G17" s="66"/>
      <c r="H17" s="65"/>
      <c r="I17" s="65"/>
      <c r="J17" s="23"/>
    </row>
    <row r="18" spans="2:15" hidden="1" x14ac:dyDescent="0.25">
      <c r="B18" s="6" t="s">
        <v>20</v>
      </c>
      <c r="C18" s="8">
        <v>22973.599999999999</v>
      </c>
      <c r="D18" s="8">
        <v>2685.26</v>
      </c>
      <c r="E18" s="8">
        <f t="shared" ref="E18:E24" si="13">C18-D18</f>
        <v>20288.339999999997</v>
      </c>
      <c r="F18" s="9">
        <v>365.4</v>
      </c>
      <c r="G18" s="9">
        <f t="shared" ref="G18:G23" si="14">E18*F18</f>
        <v>7413359.4359999979</v>
      </c>
      <c r="H18" s="18"/>
      <c r="I18" s="16"/>
      <c r="J18" s="16"/>
    </row>
    <row r="19" spans="2:15" hidden="1" x14ac:dyDescent="0.25">
      <c r="B19" s="6" t="s">
        <v>21</v>
      </c>
      <c r="C19" s="8">
        <v>26018.799999999999</v>
      </c>
      <c r="D19" s="8">
        <v>2981.69</v>
      </c>
      <c r="E19" s="8">
        <f t="shared" si="13"/>
        <v>23037.11</v>
      </c>
      <c r="F19" s="9">
        <v>365.4</v>
      </c>
      <c r="G19" s="9">
        <f t="shared" si="14"/>
        <v>8417759.993999999</v>
      </c>
      <c r="H19" s="18"/>
      <c r="I19" s="16"/>
      <c r="J19" s="16"/>
    </row>
    <row r="20" spans="2:15" hidden="1" x14ac:dyDescent="0.25">
      <c r="B20" s="6" t="s">
        <v>22</v>
      </c>
      <c r="C20" s="8">
        <v>17581.599999999999</v>
      </c>
      <c r="D20" s="8">
        <v>1240.5</v>
      </c>
      <c r="E20" s="8">
        <f t="shared" si="13"/>
        <v>16341.099999999999</v>
      </c>
      <c r="F20" s="9">
        <v>365.4</v>
      </c>
      <c r="G20" s="9">
        <f t="shared" si="14"/>
        <v>5971037.9399999995</v>
      </c>
      <c r="H20" s="18"/>
      <c r="I20" s="16"/>
      <c r="J20" s="16"/>
    </row>
    <row r="21" spans="2:15" x14ac:dyDescent="0.25">
      <c r="B21" s="29" t="str">
        <f>B8</f>
        <v>Abr-24</v>
      </c>
      <c r="C21" s="8">
        <f>C8</f>
        <v>22953.200700000001</v>
      </c>
      <c r="D21" s="8">
        <f>D8</f>
        <v>995968.875</v>
      </c>
      <c r="E21" s="8">
        <f t="shared" si="13"/>
        <v>-973015.67429999996</v>
      </c>
      <c r="F21" s="9">
        <f>G8</f>
        <v>458.36</v>
      </c>
      <c r="G21" s="9">
        <f>E21*F21</f>
        <v>-445991464.472148</v>
      </c>
      <c r="I21" s="18"/>
      <c r="J21" s="16"/>
    </row>
    <row r="22" spans="2:15" x14ac:dyDescent="0.25">
      <c r="B22" s="29">
        <f t="shared" ref="B22:D24" si="15">B9</f>
        <v>45436</v>
      </c>
      <c r="C22" s="8">
        <f t="shared" si="15"/>
        <v>24797.700199999999</v>
      </c>
      <c r="D22" s="8">
        <f t="shared" si="15"/>
        <v>997968.875</v>
      </c>
      <c r="E22" s="8">
        <f t="shared" si="13"/>
        <v>-973171.17480000004</v>
      </c>
      <c r="F22" s="9">
        <f t="shared" ref="F22:F24" si="16">G9</f>
        <v>458.36</v>
      </c>
      <c r="G22" s="9">
        <f t="shared" si="14"/>
        <v>-446062739.68132806</v>
      </c>
      <c r="H22" s="18"/>
      <c r="I22" s="16"/>
      <c r="J22" s="16"/>
    </row>
    <row r="23" spans="2:15" x14ac:dyDescent="0.25">
      <c r="B23" s="29">
        <f t="shared" si="15"/>
        <v>45467</v>
      </c>
      <c r="C23" s="8">
        <f t="shared" si="15"/>
        <v>26304.499199999998</v>
      </c>
      <c r="D23" s="8">
        <f t="shared" si="15"/>
        <v>999968.875</v>
      </c>
      <c r="E23" s="8">
        <f t="shared" si="13"/>
        <v>-973664.37580000004</v>
      </c>
      <c r="F23" s="9">
        <f t="shared" si="16"/>
        <v>458.36</v>
      </c>
      <c r="G23" s="9">
        <f t="shared" si="14"/>
        <v>-446288803.29168802</v>
      </c>
      <c r="H23" s="18"/>
      <c r="I23" s="16"/>
      <c r="J23" s="16"/>
    </row>
    <row r="24" spans="2:15" x14ac:dyDescent="0.25">
      <c r="B24" s="29">
        <f t="shared" si="15"/>
        <v>45497</v>
      </c>
      <c r="C24" s="8">
        <f t="shared" si="15"/>
        <v>16218.100200000001</v>
      </c>
      <c r="D24" s="8">
        <f t="shared" si="15"/>
        <v>999968.875</v>
      </c>
      <c r="E24" s="8">
        <f t="shared" si="13"/>
        <v>-983750.77480000001</v>
      </c>
      <c r="F24" s="9">
        <f t="shared" si="16"/>
        <v>458.36</v>
      </c>
      <c r="G24" s="9">
        <f t="shared" ref="G24" si="17">E24*F24</f>
        <v>-450912005.13732803</v>
      </c>
      <c r="H24" s="18"/>
      <c r="I24" s="16"/>
      <c r="J24" s="16"/>
    </row>
    <row r="25" spans="2:15" x14ac:dyDescent="0.25">
      <c r="B25" s="10"/>
      <c r="C25" s="10"/>
      <c r="D25" s="13"/>
      <c r="E25" s="14"/>
      <c r="F25" s="13"/>
      <c r="G25" s="15"/>
      <c r="H25" s="15"/>
      <c r="I25" s="16"/>
      <c r="J25" s="16"/>
    </row>
    <row r="26" spans="2:15" x14ac:dyDescent="0.25">
      <c r="B26" s="10"/>
      <c r="C26" s="10"/>
      <c r="D26" s="10"/>
      <c r="E26" s="10"/>
      <c r="F26" s="10"/>
      <c r="G26" s="10"/>
      <c r="H26" s="10"/>
      <c r="I26" s="10"/>
      <c r="J26" s="10"/>
    </row>
    <row r="27" spans="2:15" x14ac:dyDescent="0.25">
      <c r="B27" s="10"/>
      <c r="C27" s="10"/>
      <c r="D27" s="10"/>
      <c r="E27" s="10"/>
      <c r="F27" s="10"/>
      <c r="G27" s="10"/>
      <c r="H27" s="15"/>
      <c r="I27" s="17"/>
      <c r="J27" s="17"/>
    </row>
    <row r="30" spans="2:15" x14ac:dyDescent="0.25">
      <c r="M30" s="20" t="s">
        <v>23</v>
      </c>
      <c r="N30" s="20" t="s">
        <v>24</v>
      </c>
      <c r="O30" s="20" t="s">
        <v>25</v>
      </c>
    </row>
    <row r="31" spans="2:15" x14ac:dyDescent="0.25">
      <c r="L31" s="62">
        <f>B6</f>
        <v>45346</v>
      </c>
      <c r="M31" s="1">
        <f t="shared" ref="M31:M34" si="18">I6</f>
        <v>974.72</v>
      </c>
      <c r="N31" s="1">
        <f>G6</f>
        <v>458.36</v>
      </c>
      <c r="O31" s="4">
        <f t="shared" ref="O31:O34" si="19">M6</f>
        <v>9630630.4116360005</v>
      </c>
    </row>
    <row r="32" spans="2:15" x14ac:dyDescent="0.25">
      <c r="L32" s="62">
        <f t="shared" ref="L32:L36" si="20">B7</f>
        <v>45375</v>
      </c>
      <c r="M32" s="1">
        <f t="shared" si="18"/>
        <v>990.84</v>
      </c>
      <c r="N32" s="1">
        <f t="shared" ref="N32:N34" si="21">G7</f>
        <v>458.36</v>
      </c>
      <c r="O32" s="4">
        <f t="shared" si="19"/>
        <v>10430112.223231999</v>
      </c>
    </row>
    <row r="33" spans="12:15" x14ac:dyDescent="0.25">
      <c r="L33" s="62" t="str">
        <f t="shared" si="20"/>
        <v>Abr-24</v>
      </c>
      <c r="M33" s="1">
        <f t="shared" si="18"/>
        <v>1009.04</v>
      </c>
      <c r="N33" s="1">
        <f t="shared" si="21"/>
        <v>458.36</v>
      </c>
      <c r="O33" s="4">
        <f t="shared" si="19"/>
        <v>12639868.561476</v>
      </c>
    </row>
    <row r="34" spans="12:15" ht="15.75" customHeight="1" x14ac:dyDescent="0.25">
      <c r="L34" s="62">
        <f t="shared" si="20"/>
        <v>45436</v>
      </c>
      <c r="M34" s="1">
        <f t="shared" si="18"/>
        <v>1062.3599999999999</v>
      </c>
      <c r="N34" s="1">
        <f t="shared" si="21"/>
        <v>458.36</v>
      </c>
      <c r="O34" s="4">
        <f t="shared" si="19"/>
        <v>14977810.920799997</v>
      </c>
    </row>
    <row r="35" spans="12:15" x14ac:dyDescent="0.25">
      <c r="L35" s="62">
        <f t="shared" si="20"/>
        <v>45467</v>
      </c>
      <c r="M35" s="1">
        <f t="shared" ref="M35" si="22">I10</f>
        <v>941.82</v>
      </c>
      <c r="N35" s="1">
        <f t="shared" ref="N35" si="23">G10</f>
        <v>458.36</v>
      </c>
      <c r="O35" s="4">
        <f t="shared" ref="O35" si="24">M10</f>
        <v>12717173.183232</v>
      </c>
    </row>
    <row r="36" spans="12:15" x14ac:dyDescent="0.25">
      <c r="L36" s="62">
        <f t="shared" si="20"/>
        <v>45497</v>
      </c>
      <c r="M36" s="1">
        <f t="shared" ref="M36" si="25">I11</f>
        <v>2131</v>
      </c>
      <c r="N36" s="1">
        <f t="shared" ref="N36" si="26">G11</f>
        <v>458.36</v>
      </c>
      <c r="O36" s="4">
        <f t="shared" ref="O36" si="27">M11</f>
        <v>338206423.05472803</v>
      </c>
    </row>
    <row r="37" spans="12:15" x14ac:dyDescent="0.25">
      <c r="L37" s="11"/>
      <c r="O37" s="12"/>
    </row>
  </sheetData>
  <mergeCells count="6">
    <mergeCell ref="I16:I17"/>
    <mergeCell ref="B16:B17"/>
    <mergeCell ref="E16:E17"/>
    <mergeCell ref="F16:F17"/>
    <mergeCell ref="G16:G17"/>
    <mergeCell ref="H16:H17"/>
  </mergeCells>
  <phoneticPr fontId="3" type="noConversion"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A64D5F-70E6-4324-AB5E-C3339717965A}">
  <sheetPr codeName="Hoja13">
    <pageSetUpPr fitToPage="1"/>
  </sheetPr>
  <dimension ref="K5:P70"/>
  <sheetViews>
    <sheetView tabSelected="1" topLeftCell="A16" zoomScale="130" zoomScaleNormal="130" zoomScaleSheetLayoutView="100" workbookViewId="0">
      <selection activeCell="L28" sqref="L28"/>
    </sheetView>
  </sheetViews>
  <sheetFormatPr baseColWidth="10" defaultColWidth="11.42578125" defaultRowHeight="15" x14ac:dyDescent="0.25"/>
  <cols>
    <col min="9" max="9" width="11.85546875" customWidth="1"/>
    <col min="10" max="10" width="3.5703125" customWidth="1"/>
    <col min="14" max="14" width="27.85546875" bestFit="1" customWidth="1"/>
    <col min="15" max="15" width="20.28515625" bestFit="1" customWidth="1"/>
    <col min="16" max="16" width="11.5703125" customWidth="1"/>
  </cols>
  <sheetData>
    <row r="5" spans="11:12" x14ac:dyDescent="0.25">
      <c r="L5" s="47"/>
    </row>
    <row r="16" spans="11:12" x14ac:dyDescent="0.25">
      <c r="K16" s="47"/>
    </row>
    <row r="18" spans="11:16" x14ac:dyDescent="0.25">
      <c r="K18" s="21"/>
    </row>
    <row r="22" spans="11:16" x14ac:dyDescent="0.25">
      <c r="N22" s="47"/>
    </row>
    <row r="25" spans="11:16" x14ac:dyDescent="0.25">
      <c r="N25" s="30" t="s">
        <v>26</v>
      </c>
      <c r="O25" s="31" t="str">
        <f>CONCATENATE("Consumo", " ",P53 )</f>
        <v>Consumo =TEXTO(O53;"mmmm")</v>
      </c>
    </row>
    <row r="26" spans="11:16" x14ac:dyDescent="0.25">
      <c r="N26" s="30" t="s">
        <v>27</v>
      </c>
      <c r="O26" s="25">
        <f>$O$55</f>
        <v>16218.100200000001</v>
      </c>
    </row>
    <row r="27" spans="11:16" x14ac:dyDescent="0.25">
      <c r="N27" s="30" t="s">
        <v>28</v>
      </c>
      <c r="O27" s="25">
        <f>$O$59</f>
        <v>458.36</v>
      </c>
    </row>
    <row r="28" spans="11:16" x14ac:dyDescent="0.25">
      <c r="N28" s="30" t="s">
        <v>29</v>
      </c>
      <c r="O28" s="24">
        <f>O26*O27</f>
        <v>7433728.4076720001</v>
      </c>
    </row>
    <row r="29" spans="11:16" x14ac:dyDescent="0.25">
      <c r="N29" s="30" t="s">
        <v>30</v>
      </c>
      <c r="O29" s="31" t="str">
        <f>CONCATENATE("Exportación", " ",P53)</f>
        <v>Exportación =TEXTO(O53;"mmmm")</v>
      </c>
    </row>
    <row r="30" spans="11:16" x14ac:dyDescent="0.25">
      <c r="N30" s="30" t="s">
        <v>52</v>
      </c>
      <c r="O30" s="24">
        <v>999968.875</v>
      </c>
    </row>
    <row r="31" spans="11:16" x14ac:dyDescent="0.25">
      <c r="M31" s="28"/>
      <c r="N31" s="32" t="s">
        <v>56</v>
      </c>
      <c r="O31" s="25">
        <v>2753.43994140625</v>
      </c>
      <c r="P31" s="28"/>
    </row>
    <row r="32" spans="11:16" x14ac:dyDescent="0.25">
      <c r="N32" s="30" t="s">
        <v>31</v>
      </c>
      <c r="O32" s="27">
        <f>O28+O30</f>
        <v>8433697.2826719992</v>
      </c>
    </row>
    <row r="36" spans="13:16" s="28" customFormat="1" x14ac:dyDescent="0.25">
      <c r="M36"/>
      <c r="N36"/>
      <c r="O36"/>
      <c r="P36"/>
    </row>
    <row r="38" spans="13:16" x14ac:dyDescent="0.25">
      <c r="O38" s="33"/>
    </row>
    <row r="39" spans="13:16" s="28" customFormat="1" x14ac:dyDescent="0.25">
      <c r="M39"/>
      <c r="P39"/>
    </row>
    <row r="40" spans="13:16" x14ac:dyDescent="0.25">
      <c r="P40" s="48"/>
    </row>
    <row r="52" spans="14:16" ht="15.75" x14ac:dyDescent="0.3">
      <c r="N52" s="26" t="s">
        <v>32</v>
      </c>
      <c r="O52" s="34">
        <v>45108</v>
      </c>
    </row>
    <row r="53" spans="14:16" ht="15.75" x14ac:dyDescent="0.3">
      <c r="N53" s="26" t="s">
        <v>33</v>
      </c>
      <c r="O53" s="34">
        <v>45138</v>
      </c>
      <c r="P53" s="48" t="s">
        <v>57</v>
      </c>
    </row>
    <row r="54" spans="14:16" ht="15.75" x14ac:dyDescent="0.3">
      <c r="N54" s="26" t="s">
        <v>34</v>
      </c>
      <c r="O54" s="35">
        <v>31</v>
      </c>
    </row>
    <row r="55" spans="14:16" x14ac:dyDescent="0.25">
      <c r="N55" s="26" t="s">
        <v>35</v>
      </c>
      <c r="O55" s="36">
        <v>16218.100200000001</v>
      </c>
    </row>
    <row r="56" spans="14:16" x14ac:dyDescent="0.25">
      <c r="N56" s="26" t="s">
        <v>36</v>
      </c>
      <c r="O56" s="36">
        <v>118224.49980000001</v>
      </c>
    </row>
    <row r="57" spans="14:16" x14ac:dyDescent="0.25">
      <c r="N57" s="26" t="s">
        <v>37</v>
      </c>
      <c r="O57" s="37" t="s">
        <v>58</v>
      </c>
    </row>
    <row r="58" spans="14:16" x14ac:dyDescent="0.25">
      <c r="N58" s="26" t="s">
        <v>38</v>
      </c>
      <c r="O58" s="36">
        <v>16218.100200000001</v>
      </c>
    </row>
    <row r="59" spans="14:16" x14ac:dyDescent="0.25">
      <c r="N59" s="26" t="s">
        <v>39</v>
      </c>
      <c r="O59" s="36">
        <v>458.36</v>
      </c>
    </row>
    <row r="60" spans="14:16" ht="16.5" x14ac:dyDescent="0.35">
      <c r="N60" s="26" t="s">
        <v>40</v>
      </c>
      <c r="O60" s="38">
        <v>7433728.4076720001</v>
      </c>
    </row>
    <row r="61" spans="14:16" ht="16.5" x14ac:dyDescent="0.3">
      <c r="N61" s="26" t="s">
        <v>41</v>
      </c>
      <c r="O61" s="39">
        <v>45139</v>
      </c>
    </row>
    <row r="62" spans="14:16" x14ac:dyDescent="0.25">
      <c r="N62" s="26" t="s">
        <v>42</v>
      </c>
      <c r="O62" s="40" t="s">
        <v>59</v>
      </c>
    </row>
    <row r="63" spans="14:16" ht="15.75" x14ac:dyDescent="0.3">
      <c r="N63" s="26" t="s">
        <v>43</v>
      </c>
      <c r="O63" s="41" t="s">
        <v>51</v>
      </c>
    </row>
    <row r="64" spans="14:16" ht="16.5" x14ac:dyDescent="0.35">
      <c r="N64" s="26" t="s">
        <v>44</v>
      </c>
      <c r="O64" s="42" t="s">
        <v>54</v>
      </c>
    </row>
    <row r="65" spans="14:15" ht="18" x14ac:dyDescent="0.35">
      <c r="N65" s="26" t="s">
        <v>45</v>
      </c>
      <c r="O65" s="61">
        <v>338206423.26583201</v>
      </c>
    </row>
    <row r="66" spans="14:15" ht="18" x14ac:dyDescent="0.25">
      <c r="N66" s="26" t="s">
        <v>46</v>
      </c>
      <c r="O66" s="63">
        <v>393648572.26583201</v>
      </c>
    </row>
    <row r="67" spans="14:15" ht="18" x14ac:dyDescent="0.35">
      <c r="N67" s="26" t="s">
        <v>47</v>
      </c>
      <c r="O67" s="43">
        <v>8173.9225008000003</v>
      </c>
    </row>
    <row r="68" spans="14:15" ht="18" x14ac:dyDescent="0.35">
      <c r="N68" s="26" t="s">
        <v>48</v>
      </c>
      <c r="O68" s="44">
        <v>64770</v>
      </c>
    </row>
    <row r="69" spans="14:15" x14ac:dyDescent="0.25">
      <c r="N69" s="26" t="s">
        <v>49</v>
      </c>
      <c r="O69" s="45" t="s">
        <v>55</v>
      </c>
    </row>
    <row r="70" spans="14:15" ht="15.75" x14ac:dyDescent="0.3">
      <c r="N70" s="26" t="s">
        <v>50</v>
      </c>
      <c r="O70" s="46">
        <v>45139</v>
      </c>
    </row>
  </sheetData>
  <pageMargins left="0.23622047244094488" right="7.874015748031496E-2" top="0.39370078740157483" bottom="0.39370078740157483" header="0.19685039370078741" footer="0.11811023622047244"/>
  <pageSetup paperSize="9" scale="93" orientation="portrait" r:id="rId1"/>
  <colBreaks count="1" manualBreakCount="1">
    <brk id="10" max="47" man="1"/>
  </colBreaks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5B6868C99F8F42498FA1203F1F96F592" ma:contentTypeVersion="14" ma:contentTypeDescription="Crear nuevo documento." ma:contentTypeScope="" ma:versionID="d72e54afdf12df34fa3bb8fdc3be2faf">
  <xsd:schema xmlns:xsd="http://www.w3.org/2001/XMLSchema" xmlns:xs="http://www.w3.org/2001/XMLSchema" xmlns:p="http://schemas.microsoft.com/office/2006/metadata/properties" xmlns:ns2="e7313b36-24db-4a5b-8b27-fbf44eda5fe8" xmlns:ns3="028637a7-893d-428e-af8a-e5bc0dc76cd8" targetNamespace="http://schemas.microsoft.com/office/2006/metadata/properties" ma:root="true" ma:fieldsID="535871bbd5434ceb998da2ad73f512ab" ns2:_="" ns3:_="">
    <xsd:import namespace="e7313b36-24db-4a5b-8b27-fbf44eda5fe8"/>
    <xsd:import namespace="028637a7-893d-428e-af8a-e5bc0dc76cd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SearchPropertie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7313b36-24db-4a5b-8b27-fbf44eda5fe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3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5" nillable="true" ma:taxonomy="true" ma:internalName="lcf76f155ced4ddcb4097134ff3c332f" ma:taxonomyFieldName="MediaServiceImageTags" ma:displayName="Etiquetas de imagen" ma:readOnly="false" ma:fieldId="{5cf76f15-5ced-4ddc-b409-7134ff3c332f}" ma:taxonomyMulti="true" ma:sspId="25db2dac-40fb-4f36-a145-aa4b63f5800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SearchProperties" ma:index="2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2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28637a7-893d-428e-af8a-e5bc0dc76cd8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TaxCatchAll" ma:index="16" nillable="true" ma:displayName="Taxonomy Catch All Column" ma:hidden="true" ma:list="{566f8aad-b534-4a09-a3cc-25ee7a79d2a7}" ma:internalName="TaxCatchAll" ma:showField="CatchAllData" ma:web="028637a7-893d-428e-af8a-e5bc0dc76cd8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28637a7-893d-428e-af8a-e5bc0dc76cd8" xsi:nil="true"/>
    <lcf76f155ced4ddcb4097134ff3c332f xmlns="e7313b36-24db-4a5b-8b27-fbf44eda5fe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DF145160-7729-410C-BDFC-FDEB719F3EF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7313b36-24db-4a5b-8b27-fbf44eda5fe8"/>
    <ds:schemaRef ds:uri="028637a7-893d-428e-af8a-e5bc0dc76cd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40771AD8-12E9-4CEB-82D1-3AA1FFD623F8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A856EA12-9D37-4009-A23D-41BC2243E912}">
  <ds:schemaRefs>
    <ds:schemaRef ds:uri="028637a7-893d-428e-af8a-e5bc0dc76cd8"/>
    <ds:schemaRef ds:uri="http://schemas.openxmlformats.org/package/2006/metadata/core-properties"/>
    <ds:schemaRef ds:uri="http://schemas.microsoft.com/office/2006/metadata/properties"/>
    <ds:schemaRef ds:uri="http://schemas.microsoft.com/office/infopath/2007/PartnerControls"/>
    <ds:schemaRef ds:uri="http://www.w3.org/XML/1998/namespace"/>
    <ds:schemaRef ds:uri="http://purl.org/dc/dcmitype/"/>
    <ds:schemaRef ds:uri="http://schemas.microsoft.com/office/2006/documentManagement/types"/>
    <ds:schemaRef ds:uri="http://purl.org/dc/elements/1.1/"/>
    <ds:schemaRef ds:uri="http://purl.org/dc/terms/"/>
    <ds:schemaRef ds:uri="e7313b36-24db-4a5b-8b27-fbf44eda5fe8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PUNTOCLAVESSFV_GRAPHICS</vt:lpstr>
      <vt:lpstr>PUNTOCLAVESSFV</vt:lpstr>
      <vt:lpstr>PUNTOCLAVESSFV!Print_Area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RAMON FERNANDEZ</dc:creator>
  <cp:keywords/>
  <dc:description/>
  <cp:lastModifiedBy>Yessenia  Martinez George</cp:lastModifiedBy>
  <cp:revision/>
  <dcterms:created xsi:type="dcterms:W3CDTF">2023-02-14T19:49:03Z</dcterms:created>
  <dcterms:modified xsi:type="dcterms:W3CDTF">2024-08-09T14:19:19Z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0x0101005B6868C99F8F42498FA1203F1F96F592</vt:lpwstr>
  </property>
  <property fmtid="{D5CDD505-2E9C-101B-9397-08002B2CF9AE}" pid="3" name="MediaServiceImageTags">
    <vt:lpwstr/>
  </property>
</Properties>
</file>