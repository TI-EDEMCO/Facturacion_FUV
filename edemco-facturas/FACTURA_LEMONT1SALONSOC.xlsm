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FE773F71-41C0-4AA6-BE1F-05E31A51AD71}" xr6:coauthVersionLast="36" xr6:coauthVersionMax="36" xr10:uidLastSave="{00000000-0000-0000-0000-000000000000}"/>
  <bookViews>
    <workbookView xWindow="0" yWindow="0" windowWidth="28800" windowHeight="12105" tabRatio="789" activeTab="1" xr2:uid="{97B622EB-0C47-4D02-AD4F-870D2580F108}"/>
  </bookViews>
  <sheets>
    <sheet name="LEMONTSALONSOC_GRAPHICS" sheetId="6" r:id="rId1"/>
    <sheet name="LEMONT1SALONSOC" sheetId="12" r:id="rId2"/>
  </sheets>
  <definedNames>
    <definedName name="Print_Area" localSheetId="1">LEMONT1SALONSOC!$A$1:$J$48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9" i="6" l="1"/>
  <c r="R20" i="6"/>
  <c r="R21" i="6"/>
  <c r="R22" i="6"/>
  <c r="R23" i="6"/>
  <c r="R18" i="6"/>
  <c r="Q19" i="6"/>
  <c r="Q20" i="6"/>
  <c r="Q21" i="6"/>
  <c r="Q22" i="6"/>
  <c r="Q23" i="6"/>
  <c r="Q18" i="6"/>
  <c r="P19" i="6"/>
  <c r="P20" i="6"/>
  <c r="P21" i="6"/>
  <c r="P22" i="6"/>
  <c r="P23" i="6"/>
  <c r="P18" i="6"/>
  <c r="O19" i="6"/>
  <c r="O20" i="6"/>
  <c r="O21" i="6"/>
  <c r="O22" i="6"/>
  <c r="O23" i="6"/>
  <c r="O18" i="6"/>
  <c r="C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tc={BF9AC320-59E0-4DE1-AA1C-9CB6BBF3CCD6}</author>
  </authors>
  <commentList>
    <comment ref="O8" authorId="0" shapeId="0" xr:uid="{BF9AC320-59E0-4DE1-AA1C-9CB6BBF3CCD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Promedio de generación. Debido a perdida de internet en el sitio del proyecto</t>
        </r>
      </text>
    </comment>
  </commentList>
</comments>
</file>

<file path=xl/sharedStrings.xml><?xml version="1.0" encoding="utf-8"?>
<sst xmlns="http://schemas.openxmlformats.org/spreadsheetml/2006/main" count="42" uniqueCount="42">
  <si>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</si>
  <si>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</si>
  <si>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</si>
  <si>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</si>
  <si>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</si>
  <si>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</si>
  <si>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</si>
  <si>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</si>
  <si>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</si>
  <si>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</si>
  <si>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EPM</t>
  </si>
  <si>
    <t>CEN</t>
  </si>
  <si>
    <t>AHORRO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</si>
  <si>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</si>
  <si>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</si>
  <si>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</si>
  <si>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</si>
  <si>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</si>
  <si>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</si>
  <si>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</si>
  <si>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</si>
  <si>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</si>
  <si>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</si>
  <si>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</si>
  <si>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</si>
  <si>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</si>
  <si>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</si>
  <si>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</si>
  <si>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</si>
  <si>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</si>
  <si>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</si>
  <si>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</si>
  <si>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Generación</t>
  </si>
  <si>
    <t>Lemont Salón Social</t>
  </si>
  <si>
    <t>Negrita == importante</t>
  </si>
  <si>
    <t>Concepto1</t>
  </si>
  <si>
    <t>2023-01</t>
  </si>
  <si>
    <t>FACT_001</t>
  </si>
  <si>
    <t>CONT_001</t>
  </si>
  <si>
    <t>CUFEASDASD4654F65SA1555D</t>
  </si>
  <si>
    <t>Ene-24</t>
  </si>
  <si>
    <t>Abr-24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</si>
</sst>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_-* #,##0.0_-;\-* #,##0.0_-;_-* &quot;-&quot;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"/>
      <color theme="1"/>
      <name val="Arial"/>
      <family val="2"/>
    </font>
    <font>
      <b/>
      <sz val="8.5"/>
      <color theme="1"/>
      <name val="Trebuchet MS"/>
      <family val="2"/>
    </font>
    <font>
      <b/>
      <sz val="12.5"/>
      <color theme="1"/>
      <name val="Trebuchet MS"/>
      <family val="2"/>
    </font>
    <font>
      <sz val="7.5"/>
      <color theme="1"/>
      <name val="Trebuchet MS"/>
      <family val="2"/>
    </font>
    <font>
      <sz val="12.8"/>
      <color theme="1"/>
      <name val="Trebuchet MS"/>
      <family val="2"/>
    </font>
    <font>
      <b/>
      <sz val="9"/>
      <color theme="1"/>
      <name val="Trebuchet MS"/>
      <family val="2"/>
    </font>
    <font>
      <b/>
      <sz val="8"/>
      <color theme="1"/>
      <name val="Trebuchet MS"/>
      <family val="2"/>
    </font>
    <font>
      <b/>
      <sz val="12"/>
      <color theme="1"/>
      <name val="Trebuchet MS"/>
      <family val="2"/>
    </font>
    <font>
      <sz val="8.3000000000000007"/>
      <color theme="1"/>
      <name val="Trebuchet MS"/>
      <family val="2"/>
    </font>
    <font>
      <sz val="10"/>
      <color theme="0"/>
      <name val="Trebuchet MS"/>
      <family val="2"/>
    </font>
    <font>
      <sz val="12"/>
      <color theme="1"/>
      <name val="Trebuchet MS"/>
      <family val="2"/>
    </font>
    <font>
      <sz val="7.5"/>
      <color rgb="FF22362C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6" fontId="0" fillId="0" borderId="1" xfId="1" applyNumberFormat="1" applyFont="1" applyBorder="1"/>
    <xf numFmtId="41" fontId="0" fillId="0" borderId="0" xfId="2" applyFont="1"/>
    <xf numFmtId="167" fontId="0" fillId="0" borderId="1" xfId="0" applyNumberFormat="1" applyBorder="1"/>
    <xf numFmtId="169" fontId="0" fillId="0" borderId="0" xfId="0" applyNumberFormat="1"/>
    <xf numFmtId="0" fontId="3" fillId="0" borderId="0" xfId="0" applyFont="1"/>
    <xf numFmtId="164" fontId="0" fillId="0" borderId="0" xfId="0" applyNumberFormat="1"/>
    <xf numFmtId="164" fontId="0" fillId="0" borderId="1" xfId="1" applyNumberFormat="1" applyFont="1" applyFill="1" applyBorder="1"/>
    <xf numFmtId="166" fontId="0" fillId="0" borderId="1" xfId="1" applyNumberFormat="1" applyFont="1" applyFill="1" applyBorder="1"/>
    <xf numFmtId="0" fontId="2" fillId="2" borderId="2" xfId="0" applyFont="1" applyFill="1" applyBorder="1" applyAlignment="1">
      <alignment horizontal="center"/>
    </xf>
    <xf numFmtId="165" fontId="0" fillId="0" borderId="0" xfId="0" applyNumberFormat="1"/>
    <xf numFmtId="165" fontId="3" fillId="4" borderId="1" xfId="0" applyNumberFormat="1" applyFont="1" applyFill="1" applyBorder="1"/>
    <xf numFmtId="0" fontId="0" fillId="3" borderId="0" xfId="0" applyFill="1"/>
    <xf numFmtId="0" fontId="3" fillId="3" borderId="0" xfId="0" applyFont="1" applyFill="1"/>
    <xf numFmtId="0" fontId="4" fillId="0" borderId="0" xfId="0" applyFont="1" applyAlignment="1">
      <alignment horizontal="left" vertical="center" indent="1"/>
    </xf>
    <xf numFmtId="14" fontId="5" fillId="0" borderId="0" xfId="0" applyNumberFormat="1" applyFont="1"/>
    <xf numFmtId="0" fontId="7" fillId="0" borderId="0" xfId="0" applyNumberFormat="1" applyFont="1"/>
    <xf numFmtId="0" fontId="9" fillId="0" borderId="0" xfId="0" applyNumberFormat="1" applyFont="1"/>
    <xf numFmtId="0" fontId="10" fillId="0" borderId="0" xfId="0" applyNumberFormat="1" applyFont="1"/>
    <xf numFmtId="14" fontId="12" fillId="0" borderId="0" xfId="0" applyNumberFormat="1" applyFont="1"/>
    <xf numFmtId="14" fontId="13" fillId="3" borderId="0" xfId="0" applyNumberFormat="1" applyFont="1" applyFill="1"/>
    <xf numFmtId="0" fontId="14" fillId="0" borderId="0" xfId="0" applyNumberFormat="1" applyFont="1"/>
    <xf numFmtId="0" fontId="15" fillId="0" borderId="0" xfId="0" applyFont="1"/>
    <xf numFmtId="0" fontId="0" fillId="0" borderId="0" xfId="0" applyAlignment="1">
      <alignment horizontal="center"/>
    </xf>
    <xf numFmtId="168" fontId="0" fillId="0" borderId="1" xfId="0" applyNumberFormat="1" applyBorder="1" applyAlignment="1">
      <alignment horizontal="center"/>
    </xf>
    <xf numFmtId="17" fontId="0" fillId="0" borderId="1" xfId="0" applyNumberFormat="1" applyBorder="1" applyAlignment="1">
      <alignment horizontal="center"/>
    </xf>
    <xf numFmtId="167" fontId="8" fillId="0" borderId="0" xfId="0" applyNumberFormat="1" applyFont="1"/>
    <xf numFmtId="167" fontId="7" fillId="0" borderId="0" xfId="0" applyNumberFormat="1" applyFont="1"/>
    <xf numFmtId="4" fontId="7" fillId="0" borderId="0" xfId="0" applyNumberFormat="1" applyFont="1"/>
    <xf numFmtId="4" fontId="6" fillId="0" borderId="0" xfId="0" applyNumberFormat="1" applyFont="1"/>
    <xf numFmtId="167" fontId="11" fillId="0" borderId="0" xfId="0" applyNumberFormat="1" applyFont="1"/>
    <xf numFmtId="4" fontId="11" fillId="0" borderId="0" xfId="0" applyNumberFormat="1" applyFont="1"/>
  </cellXfs>
  <cellStyles count="6">
    <cellStyle name="Millares" xfId="1" builtinId="3"/>
    <cellStyle name="Millares [0]" xfId="2" builtinId="6"/>
    <cellStyle name="Millares [0] 2" xfId="5" xr:uid="{DF053EFB-4EEE-4063-AE9D-5901B899946F}"/>
    <cellStyle name="Millares 2" xfId="4" xr:uid="{DC3977F5-8F4B-427A-BCD7-C6B8358AC4F8}"/>
    <cellStyle name="Millares 3" xfId="3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34523B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19" Type="http://schemas.microsoft.com/office/2017/10/relationships/person" Target="persons/person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LEMONTSALONSOC_GRAPHICS!$B$6:$B$11</c:f>
              <c:strCache>
                <c:ptCount val="6"/>
                <c:pt idx="0">
                  <c:v>Ene-24</c:v>
                </c:pt>
                <c:pt idx="1">
                  <c:v>feb-24</c:v>
                </c:pt>
                <c:pt idx="2">
                  <c:v>mar-24</c:v>
                </c:pt>
                <c:pt idx="3">
                  <c:v>Abr-24</c:v>
                </c:pt>
                <c:pt idx="4">
                  <c:v>may-24</c:v>
                </c:pt>
                <c:pt idx="5">
                  <c:v>jun-24</c:v>
                </c:pt>
              </c:strCache>
            </c:strRef>
          </c:cat>
          <c:val>
            <c:numRef>
              <c:f>LEMONTSALONSOC_GRAPHICS!$C$6:$C$11</c:f>
              <c:numCache>
                <c:formatCode>_-* #,##0.0_-;\-* #,##0.0_-;_-* "-"??_-;_-@_-</c:formatCode>
                <c:ptCount val="6"/>
                <c:pt idx="0">
                  <c:v>1849.0000600000001</c:v>
                </c:pt>
                <c:pt idx="1">
                  <c:v>1622.1999000000001</c:v>
                </c:pt>
                <c:pt idx="2">
                  <c:v>1769.7000499999999</c:v>
                </c:pt>
                <c:pt idx="3">
                  <c:v>1550.7</c:v>
                </c:pt>
                <c:pt idx="4">
                  <c:v>1489.59998</c:v>
                </c:pt>
                <c:pt idx="5">
                  <c:v>1540.10004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8-441F-B581-FF6DEED4E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623847726469808"/>
          <c:y val="0.22423112187125016"/>
          <c:w val="0.67836277254788147"/>
          <c:h val="0.47579813753823791"/>
        </c:manualLayout>
      </c:layout>
      <c:barChart>
        <c:barDir val="col"/>
        <c:grouping val="clustered"/>
        <c:varyColors val="0"/>
        <c:ser>
          <c:idx val="0"/>
          <c:order val="0"/>
          <c:tx>
            <c:v>EPM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LEMONTSALONSOC_GRAPHICS!$O$18:$O$23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LEMONTSALONSOC_GRAPHICS!$P$18:$P$23</c:f>
              <c:numCache>
                <c:formatCode>"$"\ #,##0.00</c:formatCode>
                <c:ptCount val="6"/>
                <c:pt idx="0">
                  <c:v>1009</c:v>
                </c:pt>
                <c:pt idx="1">
                  <c:v>974.72</c:v>
                </c:pt>
                <c:pt idx="2">
                  <c:v>990.84</c:v>
                </c:pt>
                <c:pt idx="3">
                  <c:v>1009.04</c:v>
                </c:pt>
                <c:pt idx="4">
                  <c:v>1062.3599999999999</c:v>
                </c:pt>
                <c:pt idx="5">
                  <c:v>941.82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E-4D3F-97D7-7DE242BAE161}"/>
            </c:ext>
          </c:extLst>
        </c:ser>
        <c:ser>
          <c:idx val="1"/>
          <c:order val="1"/>
          <c:tx>
            <c:v>CEN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LEMONTSALONSOC_GRAPHICS!$O$18:$O$23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LEMONTSALONSOC_GRAPHICS!$Q$18:$Q$23</c:f>
              <c:numCache>
                <c:formatCode>General</c:formatCode>
                <c:ptCount val="6"/>
                <c:pt idx="0">
                  <c:v>325.94329600000003</c:v>
                </c:pt>
                <c:pt idx="1">
                  <c:v>325.94329600000003</c:v>
                </c:pt>
                <c:pt idx="2">
                  <c:v>325.94329600000003</c:v>
                </c:pt>
                <c:pt idx="3">
                  <c:v>325.94329600000003</c:v>
                </c:pt>
                <c:pt idx="4">
                  <c:v>325.94329600000003</c:v>
                </c:pt>
                <c:pt idx="5">
                  <c:v>325.94329600000003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5E-4D3F-97D7-7DE242BA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v>AHORRO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LEMONTSALONSOC_GRAPHICS!$O$18:$O$23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LEMONTSALONSOC_GRAPHICS!$R$18:$R$23</c:f>
              <c:numCache>
                <c:formatCode>"$"\ #,##0.00</c:formatCode>
                <c:ptCount val="6"/>
                <c:pt idx="0">
                  <c:v>1262971.8866794023</c:v>
                </c:pt>
                <c:pt idx="1">
                  <c:v>1052445.5043511295</c:v>
                </c:pt>
                <c:pt idx="2">
                  <c:v>1176667.7303136352</c:v>
                </c:pt>
                <c:pt idx="3">
                  <c:v>1059278.0588928</c:v>
                </c:pt>
                <c:pt idx="4">
                  <c:v>1096966.3075500657</c:v>
                </c:pt>
                <c:pt idx="5">
                  <c:v>948511.73646546819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D3F-97D7-7DE242BA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layout>
            <c:manualLayout>
              <c:xMode val="edge"/>
              <c:yMode val="edge"/>
              <c:x val="0"/>
              <c:y val="0.359522617417904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0</xdr:rowOff>
    </xdr:from>
    <xdr:to>
      <xdr:col>9</xdr:col>
      <xdr:colOff>47625</xdr:colOff>
      <xdr:row>50</xdr:row>
      <xdr:rowOff>9525</xdr:rowOff>
    </xdr:to>
    <xdr:pic>
      <xdr:nvPicPr>
        <xdr:cNvPr id="31" name="bg object 16">
          <a:extLst>
            <a:ext uri="{FF2B5EF4-FFF2-40B4-BE49-F238E27FC236}">
              <a16:creationId xmlns:a16="http://schemas.microsoft.com/office/drawing/2014/main" id="{BE5DD954-CAAC-421D-BC96-EBCE185172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0"/>
          <a:ext cx="6882848" cy="9534525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D69F1BF6-52EA-49C1-A53A-2F14D1A2FE2C}"/>
            </a:ext>
          </a:extLst>
        </xdr:cNvPr>
        <xdr:cNvSpPr txBox="1"/>
      </xdr:nvSpPr>
      <xdr:spPr>
        <a:xfrm>
          <a:off x="100850" y="1327163"/>
          <a:ext cx="3354070" cy="23812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92293</xdr:colOff>
      <xdr:row>8</xdr:row>
      <xdr:rowOff>86382</xdr:rowOff>
    </xdr:from>
    <xdr:to>
      <xdr:col>1</xdr:col>
      <xdr:colOff>748861</xdr:colOff>
      <xdr:row>9</xdr:row>
      <xdr:rowOff>85397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AAEAD0C4-1308-4DA7-914F-30C5B56CF08E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92293" y="1610382"/>
          <a:ext cx="1418568" cy="189515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5" name="object 4">
          <a:extLst>
            <a:ext uri="{FF2B5EF4-FFF2-40B4-BE49-F238E27FC236}">
              <a16:creationId xmlns:a16="http://schemas.microsoft.com/office/drawing/2014/main" id="{275DEC24-2470-4AB6-9C99-9CA40C55DC6E}"/>
            </a:ext>
          </a:extLst>
        </xdr:cNvPr>
        <xdr:cNvSpPr/>
      </xdr:nvSpPr>
      <xdr:spPr>
        <a:xfrm>
          <a:off x="411137" y="2221674"/>
          <a:ext cx="1309370" cy="46926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417042</xdr:colOff>
      <xdr:row>12</xdr:row>
      <xdr:rowOff>19707</xdr:rowOff>
    </xdr:from>
    <xdr:to>
      <xdr:col>2</xdr:col>
      <xdr:colOff>130022</xdr:colOff>
      <xdr:row>13</xdr:row>
      <xdr:rowOff>44894</xdr:rowOff>
    </xdr:to>
    <xdr:sp macro="" textlink="">
      <xdr:nvSpPr>
        <xdr:cNvPr id="6" name="object 5">
          <a:extLst>
            <a:ext uri="{FF2B5EF4-FFF2-40B4-BE49-F238E27FC236}">
              <a16:creationId xmlns:a16="http://schemas.microsoft.com/office/drawing/2014/main" id="{64ACEB3C-E755-4883-A310-6558E845A3BC}"/>
            </a:ext>
          </a:extLst>
        </xdr:cNvPr>
        <xdr:cNvSpPr txBox="1"/>
      </xdr:nvSpPr>
      <xdr:spPr>
        <a:xfrm>
          <a:off x="417042" y="2305707"/>
          <a:ext cx="1236980" cy="215687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7" name="object 6">
          <a:extLst>
            <a:ext uri="{FF2B5EF4-FFF2-40B4-BE49-F238E27FC236}">
              <a16:creationId xmlns:a16="http://schemas.microsoft.com/office/drawing/2014/main" id="{36CCBFE4-9344-45A9-AD96-0B36F74EDB10}"/>
            </a:ext>
          </a:extLst>
        </xdr:cNvPr>
        <xdr:cNvSpPr/>
      </xdr:nvSpPr>
      <xdr:spPr>
        <a:xfrm>
          <a:off x="1792782" y="2221623"/>
          <a:ext cx="1278890" cy="46990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32845</xdr:rowOff>
    </xdr:from>
    <xdr:to>
      <xdr:col>3</xdr:col>
      <xdr:colOff>688708</xdr:colOff>
      <xdr:row>13</xdr:row>
      <xdr:rowOff>46113</xdr:rowOff>
    </xdr:to>
    <xdr:sp macro="" textlink="">
      <xdr:nvSpPr>
        <xdr:cNvPr id="8" name="object 7">
          <a:extLst>
            <a:ext uri="{FF2B5EF4-FFF2-40B4-BE49-F238E27FC236}">
              <a16:creationId xmlns:a16="http://schemas.microsoft.com/office/drawing/2014/main" id="{16CC9862-5DE4-4881-A460-A28D13646242}"/>
            </a:ext>
          </a:extLst>
        </xdr:cNvPr>
        <xdr:cNvSpPr txBox="1"/>
      </xdr:nvSpPr>
      <xdr:spPr>
        <a:xfrm>
          <a:off x="1737728" y="2318845"/>
          <a:ext cx="1236980" cy="203768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362219</xdr:colOff>
      <xdr:row>13</xdr:row>
      <xdr:rowOff>6707</xdr:rowOff>
    </xdr:from>
    <xdr:to>
      <xdr:col>1</xdr:col>
      <xdr:colOff>643944</xdr:colOff>
      <xdr:row>14</xdr:row>
      <xdr:rowOff>137949</xdr:rowOff>
    </xdr:to>
    <xdr:sp macro="" textlink="$O$55">
      <xdr:nvSpPr>
        <xdr:cNvPr id="9" name="object 19">
          <a:extLst>
            <a:ext uri="{FF2B5EF4-FFF2-40B4-BE49-F238E27FC236}">
              <a16:creationId xmlns:a16="http://schemas.microsoft.com/office/drawing/2014/main" id="{2139CEC2-67C7-41DA-B620-9A8573E11C51}"/>
            </a:ext>
          </a:extLst>
        </xdr:cNvPr>
        <xdr:cNvSpPr txBox="1"/>
      </xdr:nvSpPr>
      <xdr:spPr>
        <a:xfrm>
          <a:off x="362219" y="2448327"/>
          <a:ext cx="1046408" cy="319059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26E46A58-D7DA-42D0-85D9-CCC27E23911B}" type="TxLink">
            <a:rPr lang="en-US" sz="1100" b="1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1.546.523,45</a:t>
          </a:fld>
          <a:endParaRPr sz="110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93216</xdr:rowOff>
    </xdr:from>
    <xdr:to>
      <xdr:col>4</xdr:col>
      <xdr:colOff>290138</xdr:colOff>
      <xdr:row>23</xdr:row>
      <xdr:rowOff>163701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1B0CD705-4AC4-464F-AD59-B46C1FB71BB1}"/>
            </a:ext>
          </a:extLst>
        </xdr:cNvPr>
        <xdr:cNvSpPr/>
      </xdr:nvSpPr>
      <xdr:spPr>
        <a:xfrm>
          <a:off x="78048" y="2836416"/>
          <a:ext cx="3382010" cy="153352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240937</xdr:colOff>
      <xdr:row>24</xdr:row>
      <xdr:rowOff>13938</xdr:rowOff>
    </xdr:from>
    <xdr:to>
      <xdr:col>3</xdr:col>
      <xdr:colOff>328450</xdr:colOff>
      <xdr:row>25</xdr:row>
      <xdr:rowOff>11118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E1DBB948-EDB7-425A-9B2D-08A166950E43}"/>
            </a:ext>
          </a:extLst>
        </xdr:cNvPr>
        <xdr:cNvSpPr txBox="1"/>
      </xdr:nvSpPr>
      <xdr:spPr>
        <a:xfrm>
          <a:off x="240937" y="4585938"/>
          <a:ext cx="2373513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r>
            <a:rPr lang="es-CO" sz="750" spc="5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233756</xdr:colOff>
      <xdr:row>28</xdr:row>
      <xdr:rowOff>84854</xdr:rowOff>
    </xdr:from>
    <xdr:to>
      <xdr:col>0</xdr:col>
      <xdr:colOff>737946</xdr:colOff>
      <xdr:row>29</xdr:row>
      <xdr:rowOff>48024</xdr:rowOff>
    </xdr:to>
    <xdr:sp macro="" textlink="">
      <xdr:nvSpPr>
        <xdr:cNvPr id="14" name="object 24">
          <a:extLst>
            <a:ext uri="{FF2B5EF4-FFF2-40B4-BE49-F238E27FC236}">
              <a16:creationId xmlns:a16="http://schemas.microsoft.com/office/drawing/2014/main" id="{8BFDFB75-6305-4BCD-8761-8AF51FCF8239}"/>
            </a:ext>
          </a:extLst>
        </xdr:cNvPr>
        <xdr:cNvSpPr txBox="1"/>
      </xdr:nvSpPr>
      <xdr:spPr>
        <a:xfrm>
          <a:off x="233756" y="5418854"/>
          <a:ext cx="504190" cy="153670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709151</xdr:colOff>
      <xdr:row>28</xdr:row>
      <xdr:rowOff>61414</xdr:rowOff>
    </xdr:from>
    <xdr:to>
      <xdr:col>1</xdr:col>
      <xdr:colOff>590281</xdr:colOff>
      <xdr:row>29</xdr:row>
      <xdr:rowOff>38514</xdr:rowOff>
    </xdr:to>
    <xdr:sp macro="" textlink="$O$58">
      <xdr:nvSpPr>
        <xdr:cNvPr id="15" name="object 25">
          <a:extLst>
            <a:ext uri="{FF2B5EF4-FFF2-40B4-BE49-F238E27FC236}">
              <a16:creationId xmlns:a16="http://schemas.microsoft.com/office/drawing/2014/main" id="{ADD5F30E-D92C-4C02-9CA2-640F617B5E84}"/>
            </a:ext>
          </a:extLst>
        </xdr:cNvPr>
        <xdr:cNvSpPr txBox="1"/>
      </xdr:nvSpPr>
      <xdr:spPr>
        <a:xfrm>
          <a:off x="709151" y="5320287"/>
          <a:ext cx="645813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47C1EE14-6A30-4FF7-AFC5-18D0C2601C65}" type="TxLink">
            <a:rPr lang="en-US" sz="100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15.465,52</a:t>
          </a:fld>
          <a:endParaRPr sz="10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227187</xdr:colOff>
      <xdr:row>29</xdr:row>
      <xdr:rowOff>53910</xdr:rowOff>
    </xdr:from>
    <xdr:to>
      <xdr:col>1</xdr:col>
      <xdr:colOff>177362</xdr:colOff>
      <xdr:row>29</xdr:row>
      <xdr:rowOff>190294</xdr:rowOff>
    </xdr:to>
    <xdr:sp macro="" textlink="">
      <xdr:nvSpPr>
        <xdr:cNvPr id="16" name="object 26">
          <a:extLst>
            <a:ext uri="{FF2B5EF4-FFF2-40B4-BE49-F238E27FC236}">
              <a16:creationId xmlns:a16="http://schemas.microsoft.com/office/drawing/2014/main" id="{CD286C1C-0C35-4F18-B6FA-16DA8318121C}"/>
            </a:ext>
          </a:extLst>
        </xdr:cNvPr>
        <xdr:cNvSpPr txBox="1"/>
      </xdr:nvSpPr>
      <xdr:spPr>
        <a:xfrm>
          <a:off x="227187" y="5578410"/>
          <a:ext cx="712175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107324</xdr:colOff>
      <xdr:row>31</xdr:row>
      <xdr:rowOff>127419</xdr:rowOff>
    </xdr:from>
    <xdr:to>
      <xdr:col>2</xdr:col>
      <xdr:colOff>426984</xdr:colOff>
      <xdr:row>32</xdr:row>
      <xdr:rowOff>140978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2C749B35-6303-4F55-9ACE-95F660565139}"/>
            </a:ext>
            <a:ext uri="{147F2762-F138-4A5C-976F-8EAC2B608ADB}">
              <a16:predDERef xmlns:a16="http://schemas.microsoft.com/office/drawing/2014/main" pred="{CD286C1C-0C35-4F18-B6FA-16DA8318121C}"/>
            </a:ext>
          </a:extLst>
        </xdr:cNvPr>
        <xdr:cNvSpPr txBox="1"/>
      </xdr:nvSpPr>
      <xdr:spPr>
        <a:xfrm>
          <a:off x="107324" y="5949743"/>
          <a:ext cx="1849026" cy="201376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u="none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u="none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u="none" spc="5">
              <a:solidFill>
                <a:srgbClr val="2E463A"/>
              </a:solidFill>
              <a:latin typeface="Trebuchet MS"/>
              <a:cs typeface="Trebuchet MS"/>
            </a:rPr>
            <a:t>Total:	</a:t>
          </a:r>
          <a:endParaRPr sz="1275" u="none" baseline="3267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105841</xdr:colOff>
      <xdr:row>31</xdr:row>
      <xdr:rowOff>65697</xdr:rowOff>
    </xdr:from>
    <xdr:to>
      <xdr:col>4</xdr:col>
      <xdr:colOff>448741</xdr:colOff>
      <xdr:row>33</xdr:row>
      <xdr:rowOff>45983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EDBAB973-10EA-4D6F-B1E4-4E16AADDCA1F}"/>
            </a:ext>
          </a:extLst>
        </xdr:cNvPr>
        <xdr:cNvSpPr txBox="1"/>
      </xdr:nvSpPr>
      <xdr:spPr>
        <a:xfrm>
          <a:off x="2391841" y="5971197"/>
          <a:ext cx="1104900" cy="361286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03BC6042-4EE8-4789-9E7D-ED4C761BA7F7}"/>
            </a:ext>
          </a:extLst>
        </xdr:cNvPr>
        <xdr:cNvSpPr txBox="1"/>
      </xdr:nvSpPr>
      <xdr:spPr>
        <a:xfrm>
          <a:off x="2095551" y="7289914"/>
          <a:ext cx="1348105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5BA953C7-AE12-45B0-9E8C-7AE3AF99C478}"/>
            </a:ext>
          </a:extLst>
        </xdr:cNvPr>
        <xdr:cNvSpPr txBox="1"/>
      </xdr:nvSpPr>
      <xdr:spPr>
        <a:xfrm>
          <a:off x="2101392" y="7382243"/>
          <a:ext cx="847724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82492</xdr:colOff>
      <xdr:row>45</xdr:row>
      <xdr:rowOff>129318</xdr:rowOff>
    </xdr:from>
    <xdr:to>
      <xdr:col>4</xdr:col>
      <xdr:colOff>371417</xdr:colOff>
      <xdr:row>46</xdr:row>
      <xdr:rowOff>84533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910E4C62-4016-4554-99CD-90FC0B5FD1A3}"/>
            </a:ext>
          </a:extLst>
        </xdr:cNvPr>
        <xdr:cNvSpPr txBox="1"/>
      </xdr:nvSpPr>
      <xdr:spPr>
        <a:xfrm>
          <a:off x="82492" y="8701818"/>
          <a:ext cx="3336925" cy="14571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35295</xdr:rowOff>
    </xdr:from>
    <xdr:to>
      <xdr:col>3</xdr:col>
      <xdr:colOff>652577</xdr:colOff>
      <xdr:row>46</xdr:row>
      <xdr:rowOff>168980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301A2B42-D129-42A4-8714-6A23C07C05BC}"/>
            </a:ext>
          </a:extLst>
        </xdr:cNvPr>
        <xdr:cNvSpPr txBox="1"/>
      </xdr:nvSpPr>
      <xdr:spPr>
        <a:xfrm>
          <a:off x="495097" y="8447775"/>
          <a:ext cx="2534920" cy="1336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97751</xdr:colOff>
      <xdr:row>34</xdr:row>
      <xdr:rowOff>24409</xdr:rowOff>
    </xdr:from>
    <xdr:to>
      <xdr:col>4</xdr:col>
      <xdr:colOff>449541</xdr:colOff>
      <xdr:row>37</xdr:row>
      <xdr:rowOff>143789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7F32DD33-6665-406D-BAC7-757CF38ECAF3}"/>
            </a:ext>
          </a:extLst>
        </xdr:cNvPr>
        <xdr:cNvSpPr txBox="1"/>
      </xdr:nvSpPr>
      <xdr:spPr>
        <a:xfrm>
          <a:off x="97751" y="6501409"/>
          <a:ext cx="3399790" cy="69088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6F118645-D733-45A9-81A7-CBA755D20FA6}"/>
            </a:ext>
          </a:extLst>
        </xdr:cNvPr>
        <xdr:cNvSpPr txBox="1"/>
      </xdr:nvSpPr>
      <xdr:spPr>
        <a:xfrm>
          <a:off x="3732326" y="5807659"/>
          <a:ext cx="3451860" cy="67564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95DB94F7-C470-4852-92C7-3DEFE8427400}"/>
            </a:ext>
          </a:extLst>
        </xdr:cNvPr>
        <xdr:cNvSpPr txBox="1"/>
      </xdr:nvSpPr>
      <xdr:spPr>
        <a:xfrm>
          <a:off x="3738804" y="6546126"/>
          <a:ext cx="3453130" cy="8445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6" name="object 36">
          <a:extLst>
            <a:ext uri="{FF2B5EF4-FFF2-40B4-BE49-F238E27FC236}">
              <a16:creationId xmlns:a16="http://schemas.microsoft.com/office/drawing/2014/main" id="{5290C654-B647-45EA-8DB1-468303173A1B}"/>
            </a:ext>
          </a:extLst>
        </xdr:cNvPr>
        <xdr:cNvGrpSpPr/>
      </xdr:nvGrpSpPr>
      <xdr:grpSpPr>
        <a:xfrm>
          <a:off x="2128729" y="6032"/>
          <a:ext cx="4809383" cy="7569444"/>
          <a:chOff x="2414142" y="893444"/>
          <a:chExt cx="4763770" cy="7676768"/>
        </a:xfrm>
      </xdr:grpSpPr>
      <xdr:sp macro="" textlink="">
        <xdr:nvSpPr>
          <xdr:cNvPr id="27" name="object 37">
            <a:extLst>
              <a:ext uri="{FF2B5EF4-FFF2-40B4-BE49-F238E27FC236}">
                <a16:creationId xmlns:a16="http://schemas.microsoft.com/office/drawing/2014/main" id="{F19AAC8C-9763-AA1D-AEE8-83BC33C83359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28" name="object 38">
            <a:extLst>
              <a:ext uri="{FF2B5EF4-FFF2-40B4-BE49-F238E27FC236}">
                <a16:creationId xmlns:a16="http://schemas.microsoft.com/office/drawing/2014/main" id="{6020B09A-9DCA-A83B-CBB6-7E91E8BCC09D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29" name="object 39">
            <a:extLst>
              <a:ext uri="{FF2B5EF4-FFF2-40B4-BE49-F238E27FC236}">
                <a16:creationId xmlns:a16="http://schemas.microsoft.com/office/drawing/2014/main" id="{C2667DC8-609F-1959-219E-51E129F7A4FD}"/>
              </a:ext>
            </a:extLst>
          </xdr:cNvPr>
          <xdr:cNvSpPr/>
        </xdr:nvSpPr>
        <xdr:spPr>
          <a:xfrm>
            <a:off x="4235703" y="2206015"/>
            <a:ext cx="1250950" cy="484505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0" name="object 40">
            <a:extLst>
              <a:ext uri="{FF2B5EF4-FFF2-40B4-BE49-F238E27FC236}">
                <a16:creationId xmlns:a16="http://schemas.microsoft.com/office/drawing/2014/main" id="{E4C23C58-82E1-1D7F-31C2-EE454A137E80}"/>
              </a:ext>
            </a:extLst>
          </xdr:cNvPr>
          <xdr:cNvSpPr/>
        </xdr:nvSpPr>
        <xdr:spPr>
          <a:xfrm>
            <a:off x="4230877" y="2200554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4</xdr:col>
      <xdr:colOff>565200</xdr:colOff>
      <xdr:row>40</xdr:row>
      <xdr:rowOff>151497</xdr:rowOff>
    </xdr:from>
    <xdr:to>
      <xdr:col>9</xdr:col>
      <xdr:colOff>33070</xdr:colOff>
      <xdr:row>47</xdr:row>
      <xdr:rowOff>45982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CA5C79DB-CA00-4182-B933-7ECAAADC4DE3}"/>
            </a:ext>
          </a:extLst>
        </xdr:cNvPr>
        <xdr:cNvSpPr txBox="1"/>
      </xdr:nvSpPr>
      <xdr:spPr>
        <a:xfrm>
          <a:off x="3613200" y="7771497"/>
          <a:ext cx="3304146" cy="1227985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sz="400">
            <a:latin typeface="Trebuchet MS"/>
            <a:cs typeface="Trebuchet MS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</a:t>
          </a:r>
          <a:r>
            <a:rPr lang="es-CO" sz="550" b="1" baseline="0">
              <a:solidFill>
                <a:srgbClr val="2E463A"/>
              </a:solidFill>
              <a:latin typeface="Calibri"/>
              <a:cs typeface="Calibri"/>
            </a:rPr>
            <a:t>   </a:t>
          </a:r>
          <a:endParaRPr sz="825" baseline="505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0B5F08FC-027D-4973-93C0-1FF793F4BE7E}"/>
            </a:ext>
          </a:extLst>
        </xdr:cNvPr>
        <xdr:cNvSpPr txBox="1"/>
      </xdr:nvSpPr>
      <xdr:spPr>
        <a:xfrm>
          <a:off x="4398315" y="1280731"/>
          <a:ext cx="69278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688772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D28D497F-FB92-43D0-AD46-AEDE90E83FAF}"/>
            </a:ext>
          </a:extLst>
        </xdr:cNvPr>
        <xdr:cNvGrpSpPr/>
      </xdr:nvGrpSpPr>
      <xdr:grpSpPr>
        <a:xfrm>
          <a:off x="5276871" y="1298059"/>
          <a:ext cx="1267111" cy="482107"/>
          <a:chOff x="5551551" y="2201570"/>
          <a:chExt cx="1261745" cy="490156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3A96B9AD-D9AA-7826-B04F-35045D904E91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3DF79923-8B93-3B5A-3DD9-CF3670FA7192}"/>
              </a:ext>
            </a:extLst>
          </xdr:cNvPr>
          <xdr:cNvSpPr/>
        </xdr:nvSpPr>
        <xdr:spPr>
          <a:xfrm>
            <a:off x="5551551" y="2201570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8CAA49CA-9BD7-44B1-960E-5158FA7115CC}"/>
            </a:ext>
          </a:extLst>
        </xdr:cNvPr>
        <xdr:cNvSpPr txBox="1"/>
      </xdr:nvSpPr>
      <xdr:spPr>
        <a:xfrm>
          <a:off x="5669584" y="1281620"/>
          <a:ext cx="91567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16FF8AA3-AAAC-41FD-865B-DDDCD93A5EB0}"/>
            </a:ext>
          </a:extLst>
        </xdr:cNvPr>
        <xdr:cNvSpPr txBox="1"/>
      </xdr:nvSpPr>
      <xdr:spPr>
        <a:xfrm>
          <a:off x="4320785" y="1496006"/>
          <a:ext cx="937260" cy="18583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704312</xdr:colOff>
      <xdr:row>8</xdr:row>
      <xdr:rowOff>40248</xdr:rowOff>
    </xdr:from>
    <xdr:to>
      <xdr:col>8</xdr:col>
      <xdr:colOff>422587</xdr:colOff>
      <xdr:row>9</xdr:row>
      <xdr:rowOff>56685</xdr:rowOff>
    </xdr:to>
    <xdr:sp macro="" textlink="$O$66">
      <xdr:nvSpPr>
        <xdr:cNvPr id="39" name="object 49">
          <a:extLst>
            <a:ext uri="{FF2B5EF4-FFF2-40B4-BE49-F238E27FC236}">
              <a16:creationId xmlns:a16="http://schemas.microsoft.com/office/drawing/2014/main" id="{2F8C3EB1-91F5-45DC-97EC-56E125309CB4}"/>
            </a:ext>
          </a:extLst>
        </xdr:cNvPr>
        <xdr:cNvSpPr txBox="1"/>
      </xdr:nvSpPr>
      <xdr:spPr>
        <a:xfrm>
          <a:off x="5292411" y="1542783"/>
          <a:ext cx="1247641" cy="204254"/>
        </a:xfrm>
        <a:prstGeom prst="rect">
          <a:avLst/>
        </a:prstGeom>
      </xdr:spPr>
      <xdr:txBody>
        <a:bodyPr vert="horz" wrap="square" lIns="0" tIns="14604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7D117901-43A5-44E0-A517-4C67668F5779}" type="TxLink">
            <a:rPr lang="en-US" sz="1050" b="1" i="0" u="none" strike="noStrike" kern="1200" spc="-7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$ 65.968.458,23</a:t>
          </a:fld>
          <a:endParaRPr sz="1050" b="1" kern="1200" spc="-7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AF5B6353-89FB-4F84-AAAE-627334EA7F0C}"/>
            </a:ext>
          </a:extLst>
        </xdr:cNvPr>
        <xdr:cNvSpPr/>
      </xdr:nvSpPr>
      <xdr:spPr>
        <a:xfrm>
          <a:off x="4090995" y="5064382"/>
          <a:ext cx="1300813" cy="464843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2B497CE9-A3FA-40C1-BB93-909C41CAE9F9}"/>
            </a:ext>
          </a:extLst>
        </xdr:cNvPr>
        <xdr:cNvSpPr/>
      </xdr:nvSpPr>
      <xdr:spPr>
        <a:xfrm>
          <a:off x="3934626" y="5265180"/>
          <a:ext cx="1282239" cy="19412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687FB9D8-3DB1-4570-9939-55FDD4ED31CA}"/>
            </a:ext>
          </a:extLst>
        </xdr:cNvPr>
        <xdr:cNvSpPr/>
      </xdr:nvSpPr>
      <xdr:spPr>
        <a:xfrm>
          <a:off x="5465098" y="5064321"/>
          <a:ext cx="1299208" cy="466071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706249</xdr:colOff>
      <xdr:row>27</xdr:row>
      <xdr:rowOff>122638</xdr:rowOff>
    </xdr:from>
    <xdr:to>
      <xdr:col>8</xdr:col>
      <xdr:colOff>432403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303F0244-1F39-4EC2-B094-C6A09FFC0F69}"/>
            </a:ext>
          </a:extLst>
        </xdr:cNvPr>
        <xdr:cNvSpPr/>
      </xdr:nvSpPr>
      <xdr:spPr>
        <a:xfrm>
          <a:off x="5461129" y="5060398"/>
          <a:ext cx="1311114" cy="18650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7</xdr:col>
      <xdr:colOff>23711</xdr:colOff>
      <xdr:row>27</xdr:row>
      <xdr:rowOff>90649</xdr:rowOff>
    </xdr:from>
    <xdr:to>
      <xdr:col>8</xdr:col>
      <xdr:colOff>386296</xdr:colOff>
      <xdr:row>29</xdr:row>
      <xdr:rowOff>172533</xdr:rowOff>
    </xdr:to>
    <xdr:sp macro="" textlink="">
      <xdr:nvSpPr>
        <xdr:cNvPr id="45" name="object 81">
          <a:extLst>
            <a:ext uri="{FF2B5EF4-FFF2-40B4-BE49-F238E27FC236}">
              <a16:creationId xmlns:a16="http://schemas.microsoft.com/office/drawing/2014/main" id="{359CA68A-F010-4CC1-A913-52BB18D99B3E}"/>
            </a:ext>
          </a:extLst>
        </xdr:cNvPr>
        <xdr:cNvSpPr txBox="1"/>
      </xdr:nvSpPr>
      <xdr:spPr>
        <a:xfrm>
          <a:off x="5357711" y="5234149"/>
          <a:ext cx="1124585" cy="462884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0"/>
            </a:spcBef>
          </a:pP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716939</xdr:colOff>
      <xdr:row>43</xdr:row>
      <xdr:rowOff>163067</xdr:rowOff>
    </xdr:from>
    <xdr:to>
      <xdr:col>4</xdr:col>
      <xdr:colOff>216559</xdr:colOff>
      <xdr:row>45</xdr:row>
      <xdr:rowOff>38718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D0106006-4EE1-457A-A213-46459AD35ABE}"/>
            </a:ext>
          </a:extLst>
        </xdr:cNvPr>
        <xdr:cNvSpPr txBox="1"/>
      </xdr:nvSpPr>
      <xdr:spPr>
        <a:xfrm>
          <a:off x="716939" y="8354567"/>
          <a:ext cx="2547620" cy="256651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KM 15 MAS 750 ALTO DE LAS PALMAS</a:t>
          </a:r>
          <a:endParaRPr sz="1350" b="1" kern="1200" spc="7" baseline="-6172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72259</xdr:colOff>
      <xdr:row>41</xdr:row>
      <xdr:rowOff>109975</xdr:rowOff>
    </xdr:from>
    <xdr:to>
      <xdr:col>3</xdr:col>
      <xdr:colOff>597776</xdr:colOff>
      <xdr:row>44</xdr:row>
      <xdr:rowOff>22582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F0D84CC1-BB82-494B-86AD-D8793ED58FE9}"/>
            </a:ext>
          </a:extLst>
        </xdr:cNvPr>
        <xdr:cNvSpPr txBox="1"/>
      </xdr:nvSpPr>
      <xdr:spPr>
        <a:xfrm>
          <a:off x="72259" y="7920475"/>
          <a:ext cx="2811517" cy="484107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lang="es-CO" sz="800" b="1" spc="15" baseline="0">
            <a:solidFill>
              <a:srgbClr val="22362C"/>
            </a:solidFill>
            <a:latin typeface="Trebuchet MS"/>
            <a:cs typeface="Trebuchet MS"/>
          </a:endParaRP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3086">
              <a:solidFill>
                <a:srgbClr val="2E463A"/>
              </a:solidFill>
              <a:latin typeface="Trebuchet MS"/>
              <a:cs typeface="Trebuchet MS"/>
            </a:rPr>
            <a:t>Nit:</a:t>
          </a:r>
          <a:r>
            <a:rPr sz="1350" b="1" spc="375" baseline="3086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7" baseline="3086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88177</xdr:colOff>
      <xdr:row>44</xdr:row>
      <xdr:rowOff>40059</xdr:rowOff>
    </xdr:from>
    <xdr:to>
      <xdr:col>0</xdr:col>
      <xdr:colOff>680632</xdr:colOff>
      <xdr:row>45</xdr:row>
      <xdr:rowOff>31169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C8DA8123-016F-4A52-BDD8-257F59168C32}"/>
            </a:ext>
          </a:extLst>
        </xdr:cNvPr>
        <xdr:cNvSpPr txBox="1"/>
      </xdr:nvSpPr>
      <xdr:spPr>
        <a:xfrm>
          <a:off x="88177" y="8422059"/>
          <a:ext cx="592455" cy="18161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90480</xdr:colOff>
      <xdr:row>38</xdr:row>
      <xdr:rowOff>35187</xdr:rowOff>
    </xdr:from>
    <xdr:to>
      <xdr:col>1</xdr:col>
      <xdr:colOff>759373</xdr:colOff>
      <xdr:row>41</xdr:row>
      <xdr:rowOff>179319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636ECC25-70BA-4CF8-93F5-40325977130E}"/>
            </a:ext>
          </a:extLst>
        </xdr:cNvPr>
        <xdr:cNvSpPr txBox="1"/>
      </xdr:nvSpPr>
      <xdr:spPr>
        <a:xfrm>
          <a:off x="90480" y="7274187"/>
          <a:ext cx="1430893" cy="715632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  <a:p>
          <a:pPr marL="20955">
            <a:lnSpc>
              <a:spcPct val="100000"/>
            </a:lnSpc>
            <a:spcBef>
              <a:spcPts val="100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endParaRPr sz="800">
            <a:solidFill>
              <a:srgbClr val="34523B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8FA7A12B-B084-4C53-B24A-322800E40274}"/>
            </a:ext>
          </a:extLst>
        </xdr:cNvPr>
        <xdr:cNvSpPr txBox="1"/>
      </xdr:nvSpPr>
      <xdr:spPr>
        <a:xfrm>
          <a:off x="4448225" y="108547"/>
          <a:ext cx="2113915" cy="26924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135429</xdr:colOff>
      <xdr:row>3</xdr:row>
      <xdr:rowOff>100037</xdr:rowOff>
    </xdr:from>
    <xdr:to>
      <xdr:col>7</xdr:col>
      <xdr:colOff>568872</xdr:colOff>
      <xdr:row>5</xdr:row>
      <xdr:rowOff>62016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AF753FF9-0D79-4577-A446-8743FF296E3D}"/>
            </a:ext>
          </a:extLst>
        </xdr:cNvPr>
        <xdr:cNvSpPr txBox="1"/>
      </xdr:nvSpPr>
      <xdr:spPr>
        <a:xfrm>
          <a:off x="3945429" y="671537"/>
          <a:ext cx="1957443" cy="342979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lang="es-CO" sz="1000" b="1" spc="5">
            <a:solidFill>
              <a:srgbClr val="2E463A"/>
            </a:solidFill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550325</xdr:colOff>
      <xdr:row>12</xdr:row>
      <xdr:rowOff>149396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E1E39603-D960-46CE-A377-F8B4EA3DF01E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26</xdr:row>
      <xdr:rowOff>1870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FAFF50C1-77E7-4B3F-A2AE-E67D4AA15774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234474" y="4226676"/>
          <a:ext cx="677802" cy="53007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6</xdr:row>
      <xdr:rowOff>54357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509CEF99-BD60-4F21-A983-13A557AD045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492486" cy="104442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0C64871C-FDA2-490C-A249-CAD6DF3BCBC0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AC491A11-34EC-4502-91D9-3E46E8374658}"/>
            </a:ext>
          </a:extLst>
        </xdr:cNvPr>
        <xdr:cNvSpPr txBox="1"/>
      </xdr:nvSpPr>
      <xdr:spPr>
        <a:xfrm>
          <a:off x="3845980" y="4186031"/>
          <a:ext cx="2091690" cy="67564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588176</xdr:colOff>
      <xdr:row>6</xdr:row>
      <xdr:rowOff>91530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931C7C13-72DD-4C9B-9EA9-15E50CC1A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5257" y="584924"/>
          <a:ext cx="661329" cy="592456"/>
        </a:xfrm>
        <a:prstGeom prst="rect">
          <a:avLst/>
        </a:prstGeom>
      </xdr:spPr>
    </xdr:pic>
    <xdr:clientData/>
  </xdr:twoCellAnchor>
  <xdr:twoCellAnchor>
    <xdr:from>
      <xdr:col>0</xdr:col>
      <xdr:colOff>114465</xdr:colOff>
      <xdr:row>15</xdr:row>
      <xdr:rowOff>49281</xdr:rowOff>
    </xdr:from>
    <xdr:to>
      <xdr:col>4</xdr:col>
      <xdr:colOff>458193</xdr:colOff>
      <xdr:row>24</xdr:row>
      <xdr:rowOff>92103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44353930-3D9C-4198-9256-D82D5F374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147572</xdr:colOff>
      <xdr:row>8</xdr:row>
      <xdr:rowOff>42678</xdr:rowOff>
    </xdr:from>
    <xdr:to>
      <xdr:col>6</xdr:col>
      <xdr:colOff>637236</xdr:colOff>
      <xdr:row>9</xdr:row>
      <xdr:rowOff>25997</xdr:rowOff>
    </xdr:to>
    <xdr:sp macro="" textlink="$O$65">
      <xdr:nvSpPr>
        <xdr:cNvPr id="59" name="object 49">
          <a:extLst>
            <a:ext uri="{FF2B5EF4-FFF2-40B4-BE49-F238E27FC236}">
              <a16:creationId xmlns:a16="http://schemas.microsoft.com/office/drawing/2014/main" id="{2F995A4A-6FBB-45FD-BC80-2040E33C6C0C}"/>
            </a:ext>
          </a:extLst>
        </xdr:cNvPr>
        <xdr:cNvSpPr txBox="1"/>
      </xdr:nvSpPr>
      <xdr:spPr>
        <a:xfrm>
          <a:off x="3970987" y="1545213"/>
          <a:ext cx="1254348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9367ADA1-9A4E-478E-A436-F50DFB0C6B9D}" type="TxLink">
            <a:rPr lang="en-US" sz="1050" b="1" i="0" u="none" strike="noStrike" spc="-7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ctr">
              <a:lnSpc>
                <a:spcPct val="100000"/>
              </a:lnSpc>
              <a:spcBef>
                <a:spcPts val="114"/>
              </a:spcBef>
            </a:pPr>
            <a:t>$ 58.626.845,52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661768</xdr:colOff>
      <xdr:row>13</xdr:row>
      <xdr:rowOff>22860</xdr:rowOff>
    </xdr:from>
    <xdr:to>
      <xdr:col>8</xdr:col>
      <xdr:colOff>711021</xdr:colOff>
      <xdr:row>23</xdr:row>
      <xdr:rowOff>38099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B2634D80-019A-4079-9C1B-027BCF874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131379</xdr:colOff>
      <xdr:row>8</xdr:row>
      <xdr:rowOff>109482</xdr:rowOff>
    </xdr:from>
    <xdr:to>
      <xdr:col>3</xdr:col>
      <xdr:colOff>120432</xdr:colOff>
      <xdr:row>9</xdr:row>
      <xdr:rowOff>120431</xdr:rowOff>
    </xdr:to>
    <xdr:sp macro="" textlink="$O$52">
      <xdr:nvSpPr>
        <xdr:cNvPr id="62" name="object 3">
          <a:extLst>
            <a:ext uri="{FF2B5EF4-FFF2-40B4-BE49-F238E27FC236}">
              <a16:creationId xmlns:a16="http://schemas.microsoft.com/office/drawing/2014/main" id="{240DA9F6-9121-49D5-BEFF-16AD93923CC8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1664138" y="1598448"/>
          <a:ext cx="755432" cy="197069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5D8F90C2-3C0D-4421-8A48-651C7DB63858}" type="TxLink">
            <a:rPr lang="en-US" sz="850" b="1" i="0" u="none" strike="noStrike" spc="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1/01/2023</a:t>
          </a:fld>
          <a:endParaRPr sz="8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48937</xdr:colOff>
      <xdr:row>8</xdr:row>
      <xdr:rowOff>102148</xdr:rowOff>
    </xdr:from>
    <xdr:to>
      <xdr:col>4</xdr:col>
      <xdr:colOff>120430</xdr:colOff>
      <xdr:row>9</xdr:row>
      <xdr:rowOff>98535</xdr:rowOff>
    </xdr:to>
    <xdr:sp macro="" textlink="$O$53">
      <xdr:nvSpPr>
        <xdr:cNvPr id="65" name="object 3">
          <a:extLst>
            <a:ext uri="{FF2B5EF4-FFF2-40B4-BE49-F238E27FC236}">
              <a16:creationId xmlns:a16="http://schemas.microsoft.com/office/drawing/2014/main" id="{2F742C9D-E0AF-47B7-B424-5207224734C8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2348075" y="1591114"/>
          <a:ext cx="837872" cy="182507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CDDE01D9-DDA1-4529-9C47-46110B826992}" type="TxLink">
            <a:rPr lang="en-US" sz="85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31/01/2023</a:t>
          </a:fld>
          <a:endParaRPr sz="85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420413</xdr:colOff>
      <xdr:row>8</xdr:row>
      <xdr:rowOff>95579</xdr:rowOff>
    </xdr:from>
    <xdr:to>
      <xdr:col>3</xdr:col>
      <xdr:colOff>144516</xdr:colOff>
      <xdr:row>9</xdr:row>
      <xdr:rowOff>94594</xdr:rowOff>
    </xdr:to>
    <xdr:sp macro="" textlink="">
      <xdr:nvSpPr>
        <xdr:cNvPr id="66" name="object 3">
          <a:extLst>
            <a:ext uri="{FF2B5EF4-FFF2-40B4-BE49-F238E27FC236}">
              <a16:creationId xmlns:a16="http://schemas.microsoft.com/office/drawing/2014/main" id="{A7DC42BB-47DE-4F70-8040-C6AFE63A582A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1953172" y="1584545"/>
          <a:ext cx="490482" cy="185135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lang="es-CO" sz="850" b="1" spc="0" baseline="0">
              <a:solidFill>
                <a:srgbClr val="22362C"/>
              </a:solidFill>
              <a:latin typeface="Trebuchet MS"/>
              <a:cs typeface="Trebuchet MS"/>
            </a:rPr>
            <a:t>         -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154278</xdr:colOff>
      <xdr:row>13</xdr:row>
      <xdr:rowOff>83532</xdr:rowOff>
    </xdr:from>
    <xdr:to>
      <xdr:col>3</xdr:col>
      <xdr:colOff>456127</xdr:colOff>
      <xdr:row>14</xdr:row>
      <xdr:rowOff>73649</xdr:rowOff>
    </xdr:to>
    <xdr:sp macro="" textlink="$O$56">
      <xdr:nvSpPr>
        <xdr:cNvPr id="67" name="object 19">
          <a:extLst>
            <a:ext uri="{FF2B5EF4-FFF2-40B4-BE49-F238E27FC236}">
              <a16:creationId xmlns:a16="http://schemas.microsoft.com/office/drawing/2014/main" id="{13862F84-F92F-40AC-817C-BEAB718B5C54}"/>
            </a:ext>
          </a:extLst>
        </xdr:cNvPr>
        <xdr:cNvSpPr txBox="1"/>
      </xdr:nvSpPr>
      <xdr:spPr>
        <a:xfrm>
          <a:off x="1683644" y="2525152"/>
          <a:ext cx="1066532" cy="177934"/>
        </a:xfrm>
        <a:prstGeom prst="rect">
          <a:avLst/>
        </a:prstGeom>
      </xdr:spPr>
      <xdr:txBody>
        <a:bodyPr vert="horz" wrap="square" lIns="0" tIns="13970" rIns="0" bIns="0" rtlCol="0" anchor="ctr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A9E6A02F-384C-4AFB-99E1-D64FD8FEEF27}" type="TxLink">
            <a:rPr lang="en-US" sz="110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9.825.361,45</a:t>
          </a:fld>
          <a:endParaRPr sz="110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563451</xdr:colOff>
      <xdr:row>13</xdr:row>
      <xdr:rowOff>25034</xdr:rowOff>
    </xdr:from>
    <xdr:to>
      <xdr:col>2</xdr:col>
      <xdr:colOff>127447</xdr:colOff>
      <xdr:row>14</xdr:row>
      <xdr:rowOff>132693</xdr:rowOff>
    </xdr:to>
    <xdr:sp macro="" textlink="">
      <xdr:nvSpPr>
        <xdr:cNvPr id="68" name="object 19">
          <a:extLst>
            <a:ext uri="{FF2B5EF4-FFF2-40B4-BE49-F238E27FC236}">
              <a16:creationId xmlns:a16="http://schemas.microsoft.com/office/drawing/2014/main" id="{02CFB25E-3975-4B71-8F28-74B2D154194D}"/>
            </a:ext>
          </a:extLst>
        </xdr:cNvPr>
        <xdr:cNvSpPr txBox="1"/>
      </xdr:nvSpPr>
      <xdr:spPr>
        <a:xfrm>
          <a:off x="1328134" y="2466654"/>
          <a:ext cx="328679" cy="295476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368926</xdr:colOff>
      <xdr:row>13</xdr:row>
      <xdr:rowOff>46954</xdr:rowOff>
    </xdr:from>
    <xdr:to>
      <xdr:col>3</xdr:col>
      <xdr:colOff>684189</xdr:colOff>
      <xdr:row>14</xdr:row>
      <xdr:rowOff>120869</xdr:rowOff>
    </xdr:to>
    <xdr:sp macro="" textlink="">
      <xdr:nvSpPr>
        <xdr:cNvPr id="69" name="object 19">
          <a:extLst>
            <a:ext uri="{FF2B5EF4-FFF2-40B4-BE49-F238E27FC236}">
              <a16:creationId xmlns:a16="http://schemas.microsoft.com/office/drawing/2014/main" id="{515A081C-81AC-44A3-A2A1-EDFED05DF3A5}"/>
            </a:ext>
          </a:extLst>
        </xdr:cNvPr>
        <xdr:cNvSpPr txBox="1"/>
      </xdr:nvSpPr>
      <xdr:spPr>
        <a:xfrm>
          <a:off x="2662975" y="2488574"/>
          <a:ext cx="315263" cy="261732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7</xdr:col>
      <xdr:colOff>744559</xdr:colOff>
      <xdr:row>27</xdr:row>
      <xdr:rowOff>134154</xdr:rowOff>
    </xdr:from>
    <xdr:to>
      <xdr:col>8</xdr:col>
      <xdr:colOff>429267</xdr:colOff>
      <xdr:row>30</xdr:row>
      <xdr:rowOff>28056</xdr:rowOff>
    </xdr:to>
    <xdr:sp macro="" textlink="">
      <xdr:nvSpPr>
        <xdr:cNvPr id="78" name="object 80">
          <a:extLst>
            <a:ext uri="{FF2B5EF4-FFF2-40B4-BE49-F238E27FC236}">
              <a16:creationId xmlns:a16="http://schemas.microsoft.com/office/drawing/2014/main" id="{8CEE2422-1780-4938-B498-E2BB006B1C33}"/>
            </a:ext>
          </a:extLst>
        </xdr:cNvPr>
        <xdr:cNvSpPr txBox="1"/>
      </xdr:nvSpPr>
      <xdr:spPr>
        <a:xfrm>
          <a:off x="6097341" y="5205210"/>
          <a:ext cx="449391" cy="457353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265309</xdr:colOff>
      <xdr:row>27</xdr:row>
      <xdr:rowOff>103186</xdr:rowOff>
    </xdr:from>
    <xdr:to>
      <xdr:col>6</xdr:col>
      <xdr:colOff>627893</xdr:colOff>
      <xdr:row>29</xdr:row>
      <xdr:rowOff>185711</xdr:rowOff>
    </xdr:to>
    <xdr:sp macro="" textlink="">
      <xdr:nvSpPr>
        <xdr:cNvPr id="79" name="object 80">
          <a:extLst>
            <a:ext uri="{FF2B5EF4-FFF2-40B4-BE49-F238E27FC236}">
              <a16:creationId xmlns:a16="http://schemas.microsoft.com/office/drawing/2014/main" id="{29B5175B-F781-4EE8-BF9A-85300AC60F79}"/>
            </a:ext>
          </a:extLst>
        </xdr:cNvPr>
        <xdr:cNvSpPr txBox="1"/>
      </xdr:nvSpPr>
      <xdr:spPr>
        <a:xfrm>
          <a:off x="4075309" y="5246686"/>
          <a:ext cx="1124584" cy="463525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250" b="1" spc="15">
              <a:solidFill>
                <a:srgbClr val="22362C"/>
              </a:solidFill>
              <a:latin typeface="Trebuchet MS"/>
              <a:cs typeface="Trebuchet MS"/>
            </a:rPr>
            <a:t>  </a:t>
          </a: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174401</xdr:colOff>
      <xdr:row>27</xdr:row>
      <xdr:rowOff>127448</xdr:rowOff>
    </xdr:from>
    <xdr:to>
      <xdr:col>6</xdr:col>
      <xdr:colOff>630621</xdr:colOff>
      <xdr:row>30</xdr:row>
      <xdr:rowOff>22801</xdr:rowOff>
    </xdr:to>
    <xdr:sp macro="" textlink="">
      <xdr:nvSpPr>
        <xdr:cNvPr id="81" name="object 80">
          <a:extLst>
            <a:ext uri="{FF2B5EF4-FFF2-40B4-BE49-F238E27FC236}">
              <a16:creationId xmlns:a16="http://schemas.microsoft.com/office/drawing/2014/main" id="{D9A4D0E9-501F-4FBE-961F-AE5D680B26AB}"/>
            </a:ext>
          </a:extLst>
        </xdr:cNvPr>
        <xdr:cNvSpPr txBox="1"/>
      </xdr:nvSpPr>
      <xdr:spPr>
        <a:xfrm>
          <a:off x="4762500" y="5198504"/>
          <a:ext cx="456220" cy="458804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101284</xdr:colOff>
      <xdr:row>9</xdr:row>
      <xdr:rowOff>95926</xdr:rowOff>
    </xdr:from>
    <xdr:to>
      <xdr:col>1</xdr:col>
      <xdr:colOff>426982</xdr:colOff>
      <xdr:row>10</xdr:row>
      <xdr:rowOff>149660</xdr:rowOff>
    </xdr:to>
    <xdr:sp macro="" textlink="">
      <xdr:nvSpPr>
        <xdr:cNvPr id="83" name="object 41">
          <a:extLst>
            <a:ext uri="{FF2B5EF4-FFF2-40B4-BE49-F238E27FC236}">
              <a16:creationId xmlns:a16="http://schemas.microsoft.com/office/drawing/2014/main" id="{4A4C606D-AE5F-41D6-8BFB-0076872E5484}"/>
            </a:ext>
          </a:extLst>
        </xdr:cNvPr>
        <xdr:cNvSpPr txBox="1"/>
      </xdr:nvSpPr>
      <xdr:spPr>
        <a:xfrm>
          <a:off x="101284" y="1810426"/>
          <a:ext cx="1087698" cy="244234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</a:t>
          </a:r>
          <a:endParaRPr lang="es-MX" sz="850" b="1" spc="15" baseline="0">
            <a:solidFill>
              <a:srgbClr val="22362C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375540</xdr:colOff>
      <xdr:row>9</xdr:row>
      <xdr:rowOff>49696</xdr:rowOff>
    </xdr:from>
    <xdr:to>
      <xdr:col>1</xdr:col>
      <xdr:colOff>621194</xdr:colOff>
      <xdr:row>10</xdr:row>
      <xdr:rowOff>159278</xdr:rowOff>
    </xdr:to>
    <xdr:sp macro="" textlink="$O$54">
      <xdr:nvSpPr>
        <xdr:cNvPr id="84" name="object 41">
          <a:extLst>
            <a:ext uri="{FF2B5EF4-FFF2-40B4-BE49-F238E27FC236}">
              <a16:creationId xmlns:a16="http://schemas.microsoft.com/office/drawing/2014/main" id="{4477411E-196F-49E5-BE74-577B9D5F6BBE}"/>
            </a:ext>
          </a:extLst>
        </xdr:cNvPr>
        <xdr:cNvSpPr txBox="1"/>
      </xdr:nvSpPr>
      <xdr:spPr>
        <a:xfrm>
          <a:off x="1137540" y="1764196"/>
          <a:ext cx="245654" cy="300082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fld id="{143C8B3B-E59D-45BB-9462-B2B27DC423CC}" type="TxLink">
            <a:rPr lang="en-US" sz="1800" b="0" i="0" u="none" strike="noStrike" spc="22" baseline="2923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250"/>
              </a:spcBef>
            </a:pPr>
            <a:t>30</a:t>
          </a:fld>
          <a:endParaRPr sz="180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97344</xdr:colOff>
      <xdr:row>10</xdr:row>
      <xdr:rowOff>170813</xdr:rowOff>
    </xdr:from>
    <xdr:to>
      <xdr:col>0</xdr:col>
      <xdr:colOff>591207</xdr:colOff>
      <xdr:row>11</xdr:row>
      <xdr:rowOff>153822</xdr:rowOff>
    </xdr:to>
    <xdr:sp macro="" textlink="">
      <xdr:nvSpPr>
        <xdr:cNvPr id="85" name="object 41">
          <a:extLst>
            <a:ext uri="{FF2B5EF4-FFF2-40B4-BE49-F238E27FC236}">
              <a16:creationId xmlns:a16="http://schemas.microsoft.com/office/drawing/2014/main" id="{49C70A70-880D-4036-A7EC-36B66B1B2C1B}"/>
            </a:ext>
          </a:extLst>
        </xdr:cNvPr>
        <xdr:cNvSpPr txBox="1"/>
      </xdr:nvSpPr>
      <xdr:spPr>
        <a:xfrm>
          <a:off x="97344" y="2075813"/>
          <a:ext cx="493863" cy="173509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604468</xdr:colOff>
      <xdr:row>10</xdr:row>
      <xdr:rowOff>132713</xdr:rowOff>
    </xdr:from>
    <xdr:to>
      <xdr:col>2</xdr:col>
      <xdr:colOff>367862</xdr:colOff>
      <xdr:row>11</xdr:row>
      <xdr:rowOff>175290</xdr:rowOff>
    </xdr:to>
    <xdr:sp macro="" textlink="">
      <xdr:nvSpPr>
        <xdr:cNvPr id="86" name="object 41">
          <a:extLst>
            <a:ext uri="{FF2B5EF4-FFF2-40B4-BE49-F238E27FC236}">
              <a16:creationId xmlns:a16="http://schemas.microsoft.com/office/drawing/2014/main" id="{AC6F3C7A-0B8B-44CD-A6A9-2D978877E2A6}"/>
            </a:ext>
          </a:extLst>
        </xdr:cNvPr>
        <xdr:cNvSpPr txBox="1"/>
      </xdr:nvSpPr>
      <xdr:spPr>
        <a:xfrm>
          <a:off x="604468" y="1993920"/>
          <a:ext cx="1296153" cy="228698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LEMONT SALÓN SOCIAL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140863</xdr:colOff>
      <xdr:row>28</xdr:row>
      <xdr:rowOff>125283</xdr:rowOff>
    </xdr:from>
    <xdr:to>
      <xdr:col>6</xdr:col>
      <xdr:colOff>275017</xdr:colOff>
      <xdr:row>30</xdr:row>
      <xdr:rowOff>42442</xdr:rowOff>
    </xdr:to>
    <xdr:sp macro="" textlink="$O$67">
      <xdr:nvSpPr>
        <xdr:cNvPr id="87" name="object 19">
          <a:extLst>
            <a:ext uri="{FF2B5EF4-FFF2-40B4-BE49-F238E27FC236}">
              <a16:creationId xmlns:a16="http://schemas.microsoft.com/office/drawing/2014/main" id="{1769AEBF-9383-409E-B88C-7DC2EAB243D1}"/>
            </a:ext>
          </a:extLst>
        </xdr:cNvPr>
        <xdr:cNvSpPr txBox="1"/>
      </xdr:nvSpPr>
      <xdr:spPr>
        <a:xfrm>
          <a:off x="3964278" y="5384156"/>
          <a:ext cx="898838" cy="29279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l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59B75E6E-97D4-4114-A35D-767B3E289EE0}" type="TxLink">
            <a:rPr lang="en-US" sz="1050" b="1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l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7.745,52</a:t>
          </a:fld>
          <a:endParaRPr sz="105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717728</xdr:colOff>
      <xdr:row>28</xdr:row>
      <xdr:rowOff>128310</xdr:rowOff>
    </xdr:from>
    <xdr:to>
      <xdr:col>8</xdr:col>
      <xdr:colOff>32618</xdr:colOff>
      <xdr:row>30</xdr:row>
      <xdr:rowOff>45469</xdr:rowOff>
    </xdr:to>
    <xdr:sp macro="" textlink="$O$68">
      <xdr:nvSpPr>
        <xdr:cNvPr id="88" name="object 19">
          <a:extLst>
            <a:ext uri="{FF2B5EF4-FFF2-40B4-BE49-F238E27FC236}">
              <a16:creationId xmlns:a16="http://schemas.microsoft.com/office/drawing/2014/main" id="{D8999F7D-E42B-46C2-9B96-C2E0EE81B090}"/>
            </a:ext>
          </a:extLst>
        </xdr:cNvPr>
        <xdr:cNvSpPr txBox="1"/>
      </xdr:nvSpPr>
      <xdr:spPr>
        <a:xfrm>
          <a:off x="5305827" y="5387183"/>
          <a:ext cx="844256" cy="292793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l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B8EB0C98-E9DF-4299-9FE3-383A7357C8FC}" type="TxLink">
            <a:rPr lang="en-US" sz="1050" b="1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l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4.489,52</a:t>
          </a:fld>
          <a:endParaRPr sz="105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620135</xdr:colOff>
      <xdr:row>28</xdr:row>
      <xdr:rowOff>60359</xdr:rowOff>
    </xdr:from>
    <xdr:to>
      <xdr:col>2</xdr:col>
      <xdr:colOff>315263</xdr:colOff>
      <xdr:row>29</xdr:row>
      <xdr:rowOff>37459</xdr:rowOff>
    </xdr:to>
    <xdr:sp macro="" textlink="">
      <xdr:nvSpPr>
        <xdr:cNvPr id="89" name="object 25">
          <a:extLst>
            <a:ext uri="{FF2B5EF4-FFF2-40B4-BE49-F238E27FC236}">
              <a16:creationId xmlns:a16="http://schemas.microsoft.com/office/drawing/2014/main" id="{E126750B-8647-4613-8302-FBE7FFA03D20}"/>
            </a:ext>
          </a:extLst>
        </xdr:cNvPr>
        <xdr:cNvSpPr txBox="1"/>
      </xdr:nvSpPr>
      <xdr:spPr>
        <a:xfrm>
          <a:off x="1384818" y="5319232"/>
          <a:ext cx="459811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1000" b="0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</a:t>
          </a:r>
          <a:r>
            <a:rPr lang="es-CO" sz="1000" b="0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W</a:t>
          </a:r>
          <a:r>
            <a:rPr sz="1000" b="0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h</a:t>
          </a:r>
          <a:endParaRPr sz="1000" b="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160986</xdr:colOff>
      <xdr:row>29</xdr:row>
      <xdr:rowOff>33540</xdr:rowOff>
    </xdr:from>
    <xdr:to>
      <xdr:col>2</xdr:col>
      <xdr:colOff>362219</xdr:colOff>
      <xdr:row>30</xdr:row>
      <xdr:rowOff>11922</xdr:rowOff>
    </xdr:to>
    <xdr:sp macro="" textlink="$O$59">
      <xdr:nvSpPr>
        <xdr:cNvPr id="91" name="object 26">
          <a:extLst>
            <a:ext uri="{FF2B5EF4-FFF2-40B4-BE49-F238E27FC236}">
              <a16:creationId xmlns:a16="http://schemas.microsoft.com/office/drawing/2014/main" id="{4769758D-472E-4E16-9594-E7BFE828F1BC}"/>
            </a:ext>
          </a:extLst>
        </xdr:cNvPr>
        <xdr:cNvSpPr txBox="1"/>
      </xdr:nvSpPr>
      <xdr:spPr>
        <a:xfrm flipH="1">
          <a:off x="925669" y="5480230"/>
          <a:ext cx="965916" cy="166199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fld id="{E48109CA-D6DC-44A0-B9B6-2C6532FF4AEE}" type="TxLink">
            <a:rPr lang="en-US" sz="1000" b="1" i="0" u="none" strike="noStrike" spc="15" baseline="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5"/>
              </a:spcBef>
            </a:pPr>
            <a:t>$ 1.145,87</a:t>
          </a:fld>
          <a:endParaRPr sz="1000" b="1" baseline="3968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60369</xdr:colOff>
      <xdr:row>31</xdr:row>
      <xdr:rowOff>120739</xdr:rowOff>
    </xdr:from>
    <xdr:to>
      <xdr:col>2</xdr:col>
      <xdr:colOff>529911</xdr:colOff>
      <xdr:row>32</xdr:row>
      <xdr:rowOff>147570</xdr:rowOff>
    </xdr:to>
    <xdr:sp macro="" textlink="$O$60">
      <xdr:nvSpPr>
        <xdr:cNvPr id="106" name="CuadroTexto 105">
          <a:extLst>
            <a:ext uri="{FF2B5EF4-FFF2-40B4-BE49-F238E27FC236}">
              <a16:creationId xmlns:a16="http://schemas.microsoft.com/office/drawing/2014/main" id="{9236C2E5-781F-4879-9C57-4B9B0991317D}"/>
            </a:ext>
          </a:extLst>
        </xdr:cNvPr>
        <xdr:cNvSpPr txBox="1"/>
      </xdr:nvSpPr>
      <xdr:spPr>
        <a:xfrm>
          <a:off x="825052" y="5943063"/>
          <a:ext cx="1234225" cy="21464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9F3551-FE6D-48C7-BA70-1F6AF0F7DE19}" type="TxLink">
            <a:rPr lang="en-US" sz="1100" b="1" i="0" u="none" strike="noStrike" kern="1200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/>
            <a:t>$ 5.519.854,21</a:t>
          </a:fld>
          <a:endParaRPr lang="es-CO" sz="1100" b="1" u="none" kern="1200" spc="5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474417</xdr:colOff>
      <xdr:row>39</xdr:row>
      <xdr:rowOff>83367</xdr:rowOff>
    </xdr:from>
    <xdr:to>
      <xdr:col>2</xdr:col>
      <xdr:colOff>280414</xdr:colOff>
      <xdr:row>40</xdr:row>
      <xdr:rowOff>117962</xdr:rowOff>
    </xdr:to>
    <xdr:sp macro="" textlink="$O$62">
      <xdr:nvSpPr>
        <xdr:cNvPr id="107" name="CuadroTexto 106">
          <a:extLst>
            <a:ext uri="{FF2B5EF4-FFF2-40B4-BE49-F238E27FC236}">
              <a16:creationId xmlns:a16="http://schemas.microsoft.com/office/drawing/2014/main" id="{0648DAF7-62C1-42BF-A6A7-75AA5B7C7D84}"/>
            </a:ext>
          </a:extLst>
        </xdr:cNvPr>
        <xdr:cNvSpPr txBox="1"/>
      </xdr:nvSpPr>
      <xdr:spPr>
        <a:xfrm>
          <a:off x="474417" y="7408226"/>
          <a:ext cx="1335363" cy="22241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D2042E4-CC9F-406B-89ED-771EB4391DC2}" type="TxLink">
            <a:rPr lang="en-US" sz="750" b="0" i="0" u="none" strike="noStrike">
              <a:solidFill>
                <a:srgbClr val="000000"/>
              </a:solidFill>
              <a:effectLst/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2023-01</a:t>
          </a:fld>
          <a:endParaRPr lang="es-CO" sz="900" b="1" u="none" kern="1200" spc="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626680</xdr:colOff>
      <xdr:row>40</xdr:row>
      <xdr:rowOff>17078</xdr:rowOff>
    </xdr:from>
    <xdr:to>
      <xdr:col>1</xdr:col>
      <xdr:colOff>645949</xdr:colOff>
      <xdr:row>41</xdr:row>
      <xdr:rowOff>32845</xdr:rowOff>
    </xdr:to>
    <xdr:sp macro="" textlink="$O$63">
      <xdr:nvSpPr>
        <xdr:cNvPr id="108" name="CuadroTexto 107">
          <a:extLst>
            <a:ext uri="{FF2B5EF4-FFF2-40B4-BE49-F238E27FC236}">
              <a16:creationId xmlns:a16="http://schemas.microsoft.com/office/drawing/2014/main" id="{5544EE16-6AF3-4FB3-8CF6-11059FB5E8E9}"/>
            </a:ext>
          </a:extLst>
        </xdr:cNvPr>
        <xdr:cNvSpPr txBox="1"/>
      </xdr:nvSpPr>
      <xdr:spPr>
        <a:xfrm>
          <a:off x="626680" y="7461906"/>
          <a:ext cx="785648" cy="20188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CE83C39-DFB0-4565-BCCA-402A9DE47FEF}" type="TxLink">
            <a:rPr lang="en-US" sz="800" b="1" i="0" u="none" strike="noStrike" kern="1200" spc="1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FACT_001</a:t>
          </a:fld>
          <a:endParaRPr lang="es-CO">
            <a:solidFill>
              <a:schemeClr val="accent6">
                <a:lumMod val="50000"/>
              </a:schemeClr>
            </a:solidFill>
            <a:effectLst/>
          </a:endParaRPr>
        </a:p>
      </xdr:txBody>
    </xdr:sp>
    <xdr:clientData/>
  </xdr:twoCellAnchor>
  <xdr:twoCellAnchor>
    <xdr:from>
      <xdr:col>0</xdr:col>
      <xdr:colOff>470338</xdr:colOff>
      <xdr:row>41</xdr:row>
      <xdr:rowOff>169480</xdr:rowOff>
    </xdr:from>
    <xdr:to>
      <xdr:col>3</xdr:col>
      <xdr:colOff>275897</xdr:colOff>
      <xdr:row>42</xdr:row>
      <xdr:rowOff>183932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B7B9D518-4B47-41C0-9178-780CC5F0A027}"/>
            </a:ext>
          </a:extLst>
        </xdr:cNvPr>
        <xdr:cNvSpPr txBox="1"/>
      </xdr:nvSpPr>
      <xdr:spPr>
        <a:xfrm>
          <a:off x="470338" y="7979980"/>
          <a:ext cx="2091559" cy="2049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38100" indent="0" algn="l" defTabSz="914400" rtl="0" eaLnBrk="1" latinLnBrk="0" hangingPunct="1">
            <a:lnSpc>
              <a:spcPct val="100000"/>
            </a:lnSpc>
            <a:spcBef>
              <a:spcPts val="340"/>
            </a:spcBef>
          </a:pPr>
          <a:r>
            <a:rPr lang="es-CO" sz="800" b="1" kern="1200" spc="15" baseline="0">
              <a:solidFill>
                <a:srgbClr val="22362C"/>
              </a:solidFill>
              <a:latin typeface="Trebuchet MS"/>
              <a:ea typeface="+mn-ea"/>
              <a:cs typeface="Trebuchet MS"/>
            </a:rPr>
            <a:t>CONJUNTO RESIDENCIAL LEMONT 1PH</a:t>
          </a:r>
        </a:p>
        <a:p>
          <a:endParaRPr lang="es-CO" sz="900" b="1" u="none" kern="1200" spc="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694996</xdr:colOff>
      <xdr:row>40</xdr:row>
      <xdr:rowOff>164224</xdr:rowOff>
    </xdr:from>
    <xdr:to>
      <xdr:col>1</xdr:col>
      <xdr:colOff>518948</xdr:colOff>
      <xdr:row>42</xdr:row>
      <xdr:rowOff>19708</xdr:rowOff>
    </xdr:to>
    <xdr:sp macro="" textlink="$O$64">
      <xdr:nvSpPr>
        <xdr:cNvPr id="110" name="CuadroTexto 109">
          <a:extLst>
            <a:ext uri="{FF2B5EF4-FFF2-40B4-BE49-F238E27FC236}">
              <a16:creationId xmlns:a16="http://schemas.microsoft.com/office/drawing/2014/main" id="{43DA515E-D019-4A05-8EE9-C35B4033EBC1}"/>
            </a:ext>
          </a:extLst>
        </xdr:cNvPr>
        <xdr:cNvSpPr txBox="1"/>
      </xdr:nvSpPr>
      <xdr:spPr>
        <a:xfrm>
          <a:off x="694996" y="7784224"/>
          <a:ext cx="585952" cy="2364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6A5FFA-8A30-4BB8-A11F-047C856AAE26}" type="TxLink">
            <a:rPr lang="en-US" sz="900" b="1" i="0" u="none" strike="noStrike" kern="120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/>
            <a:t>CONT_001</a:t>
          </a:fld>
          <a:endParaRPr lang="es-CO" sz="900" b="1" kern="120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262758</xdr:colOff>
      <xdr:row>42</xdr:row>
      <xdr:rowOff>158969</xdr:rowOff>
    </xdr:from>
    <xdr:to>
      <xdr:col>1</xdr:col>
      <xdr:colOff>295604</xdr:colOff>
      <xdr:row>44</xdr:row>
      <xdr:rowOff>59121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5BBD6D85-84A3-4112-B762-5DA882A3D277}"/>
            </a:ext>
          </a:extLst>
        </xdr:cNvPr>
        <xdr:cNvSpPr txBox="1"/>
      </xdr:nvSpPr>
      <xdr:spPr>
        <a:xfrm>
          <a:off x="262758" y="8159969"/>
          <a:ext cx="794846" cy="2811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901064820</a:t>
          </a:r>
        </a:p>
      </xdr:txBody>
    </xdr:sp>
    <xdr:clientData/>
  </xdr:twoCellAnchor>
  <xdr:twoCellAnchor>
    <xdr:from>
      <xdr:col>5</xdr:col>
      <xdr:colOff>9591</xdr:colOff>
      <xdr:row>45</xdr:row>
      <xdr:rowOff>79892</xdr:rowOff>
    </xdr:from>
    <xdr:to>
      <xdr:col>6</xdr:col>
      <xdr:colOff>457636</xdr:colOff>
      <xdr:row>46</xdr:row>
      <xdr:rowOff>37850</xdr:rowOff>
    </xdr:to>
    <xdr:sp macro="" textlink="$O$69">
      <xdr:nvSpPr>
        <xdr:cNvPr id="112" name="CuadroTexto 111">
          <a:extLst>
            <a:ext uri="{FF2B5EF4-FFF2-40B4-BE49-F238E27FC236}">
              <a16:creationId xmlns:a16="http://schemas.microsoft.com/office/drawing/2014/main" id="{927E4243-86FB-4EFE-95DF-B7276FB43CC9}"/>
            </a:ext>
          </a:extLst>
        </xdr:cNvPr>
        <xdr:cNvSpPr txBox="1"/>
      </xdr:nvSpPr>
      <xdr:spPr>
        <a:xfrm>
          <a:off x="3833006" y="8531653"/>
          <a:ext cx="1212729" cy="14577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B71B4C-395F-4F4B-A29E-B1821C6E1EC2}" type="TxLink">
            <a:rPr lang="en-US" sz="500" b="1" i="0" u="none" strike="noStrike" kern="1200" baseline="0">
              <a:solidFill>
                <a:schemeClr val="accent6">
                  <a:lumMod val="50000"/>
                </a:schemeClr>
              </a:solidFill>
              <a:latin typeface="Arial"/>
              <a:ea typeface="Calibri"/>
              <a:cs typeface="Arial"/>
            </a:rPr>
            <a:pPr/>
            <a:t>CUFEASDASD4654F65SA1555D</a:t>
          </a:fld>
          <a:endParaRPr lang="es-CO" sz="500" b="1" i="0" u="none" strike="noStrike" kern="1200" baseline="0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553727</xdr:colOff>
      <xdr:row>45</xdr:row>
      <xdr:rowOff>148598</xdr:rowOff>
    </xdr:from>
    <xdr:to>
      <xdr:col>6</xdr:col>
      <xdr:colOff>360600</xdr:colOff>
      <xdr:row>46</xdr:row>
      <xdr:rowOff>177501</xdr:rowOff>
    </xdr:to>
    <xdr:sp macro="" textlink="$O$70">
      <xdr:nvSpPr>
        <xdr:cNvPr id="113" name="CuadroTexto 112">
          <a:extLst>
            <a:ext uri="{FF2B5EF4-FFF2-40B4-BE49-F238E27FC236}">
              <a16:creationId xmlns:a16="http://schemas.microsoft.com/office/drawing/2014/main" id="{3D99ADC8-1387-442D-87D9-3D1B28AA82D0}"/>
            </a:ext>
          </a:extLst>
        </xdr:cNvPr>
        <xdr:cNvSpPr txBox="1"/>
      </xdr:nvSpPr>
      <xdr:spPr>
        <a:xfrm>
          <a:off x="4377142" y="8600359"/>
          <a:ext cx="571557" cy="21671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8FE5693-B410-4FBD-8A65-C8EE97FE2AED}" type="TxLink">
            <a:rPr lang="en-US" sz="800" b="1" i="0" u="none" strike="noStrike" kern="1200" spc="15" baseline="505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1/01/2023</a:t>
          </a:fld>
          <a:endParaRPr lang="es-CO" sz="800" b="1" kern="1200" spc="15" baseline="505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243052</xdr:colOff>
      <xdr:row>31</xdr:row>
      <xdr:rowOff>45983</xdr:rowOff>
    </xdr:from>
    <xdr:to>
      <xdr:col>4</xdr:col>
      <xdr:colOff>315310</xdr:colOff>
      <xdr:row>32</xdr:row>
      <xdr:rowOff>98535</xdr:rowOff>
    </xdr:to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F3592A28-86D4-C13E-084B-80B0132C6DA0}"/>
            </a:ext>
          </a:extLst>
        </xdr:cNvPr>
        <xdr:cNvSpPr txBox="1"/>
      </xdr:nvSpPr>
      <xdr:spPr>
        <a:xfrm>
          <a:off x="2529052" y="5951483"/>
          <a:ext cx="834258" cy="2430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00">
              <a:solidFill>
                <a:schemeClr val="bg1"/>
              </a:solidFill>
              <a:latin typeface="Trebuchet MS" panose="020B0603020202020204" pitchFamily="34" charset="0"/>
            </a:rPr>
            <a:t>Pagar hasta el</a:t>
          </a:r>
        </a:p>
      </xdr:txBody>
    </xdr:sp>
    <xdr:clientData/>
  </xdr:twoCellAnchor>
  <xdr:twoCellAnchor>
    <xdr:from>
      <xdr:col>3</xdr:col>
      <xdr:colOff>100616</xdr:colOff>
      <xdr:row>32</xdr:row>
      <xdr:rowOff>7883</xdr:rowOff>
    </xdr:from>
    <xdr:to>
      <xdr:col>4</xdr:col>
      <xdr:colOff>436004</xdr:colOff>
      <xdr:row>33</xdr:row>
      <xdr:rowOff>32845</xdr:rowOff>
    </xdr:to>
    <xdr:sp macro="" textlink="$O$61">
      <xdr:nvSpPr>
        <xdr:cNvPr id="116" name="CuadroTexto 115">
          <a:extLst>
            <a:ext uri="{FF2B5EF4-FFF2-40B4-BE49-F238E27FC236}">
              <a16:creationId xmlns:a16="http://schemas.microsoft.com/office/drawing/2014/main" id="{8AD2DDDB-D32D-4E6B-9D92-D02DEB534E6D}"/>
            </a:ext>
          </a:extLst>
        </xdr:cNvPr>
        <xdr:cNvSpPr txBox="1"/>
      </xdr:nvSpPr>
      <xdr:spPr>
        <a:xfrm>
          <a:off x="2394665" y="6018024"/>
          <a:ext cx="1100071" cy="21277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9BF08C9-D3D5-4043-8E01-9603CC8987EC}" type="TxLink">
            <a:rPr lang="en-US" sz="800" b="1" i="0" u="none" strike="noStrike">
              <a:solidFill>
                <a:srgbClr val="FFFFFF"/>
              </a:solidFill>
              <a:latin typeface="Trebuchet MS"/>
              <a:ea typeface="Calibri"/>
              <a:cs typeface="Calibri"/>
            </a:rPr>
            <a:pPr algn="ctr"/>
            <a:t>1/02/2023</a:t>
          </a:fld>
          <a:endParaRPr lang="es-CO" sz="800" b="1">
            <a:solidFill>
              <a:schemeClr val="bg1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231913</xdr:colOff>
      <xdr:row>24</xdr:row>
      <xdr:rowOff>149087</xdr:rowOff>
    </xdr:from>
    <xdr:to>
      <xdr:col>3</xdr:col>
      <xdr:colOff>319426</xdr:colOff>
      <xdr:row>27</xdr:row>
      <xdr:rowOff>149087</xdr:rowOff>
    </xdr:to>
    <xdr:sp macro="" textlink="$O$57">
      <xdr:nvSpPr>
        <xdr:cNvPr id="103" name="object 21">
          <a:extLst>
            <a:ext uri="{FF2B5EF4-FFF2-40B4-BE49-F238E27FC236}">
              <a16:creationId xmlns:a16="http://schemas.microsoft.com/office/drawing/2014/main" id="{7DF16251-1E9E-4E7A-B75B-639FC03ED8E4}"/>
            </a:ext>
          </a:extLst>
        </xdr:cNvPr>
        <xdr:cNvSpPr txBox="1"/>
      </xdr:nvSpPr>
      <xdr:spPr>
        <a:xfrm>
          <a:off x="231913" y="4721087"/>
          <a:ext cx="2373513" cy="571500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fld id="{FD1D8158-DDB5-423A-B484-F65CAFF4EBB5}" type="TxLink">
            <a:rPr lang="en-US" sz="750" b="0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535"/>
              </a:spcBef>
            </a:pPr>
            <a:t>Concepto1</a:t>
          </a:fld>
          <a:endParaRPr sz="750" b="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món Fernández Patiño" id="{1D8E40E9-670E-4DFD-965E-C3240D44BC65}" userId="S::ramon.fernandez@edemco.co::83ac4bf8-513b-4112-96df-1f04505deeec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7-07T03:26:02.63" personId="{1D8E40E9-670E-4DFD-965E-C3240D44BC65}" id="{BF9AC320-59E0-4DE1-AA1C-9CB6BBF3CCD6}">
    <text>Promedio de generación. Debido a perdida de internet en el sitio del proyecto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4FEE9-2854-4E76-85E9-213011E1040C}">
  <sheetPr codeName="Hoja7"/>
  <dimension ref="B3:R23"/>
  <sheetViews>
    <sheetView topLeftCell="A5" workbookViewId="0">
      <pane ySplit="1" topLeftCell="A6" activePane="bottomLeft" state="frozen"/>
      <selection activeCell="A5" sqref="A5"/>
      <selection pane="bottomLeft" activeCell="R23" sqref="R23"/>
    </sheetView>
  </sheetViews>
  <sheetFormatPr baseColWidth="10" defaultColWidth="11.42578125" defaultRowHeight="15" x14ac:dyDescent="0.25"/>
  <cols>
    <col min="2" max="2" width="13.5703125" style="28" bestFit="1" customWidth="1"/>
    <col min="6" max="6" width="14.28515625" bestFit="1" customWidth="1"/>
    <col min="7" max="7" width="8.7109375" bestFit="1" customWidth="1"/>
    <col min="8" max="8" width="12.7109375" bestFit="1" customWidth="1"/>
    <col min="9" max="9" width="17.42578125" customWidth="1"/>
    <col min="10" max="10" width="14.28515625" bestFit="1" customWidth="1"/>
    <col min="11" max="11" width="16.28515625" bestFit="1" customWidth="1"/>
    <col min="12" max="12" width="11.140625" bestFit="1" customWidth="1"/>
    <col min="13" max="13" width="15" bestFit="1" customWidth="1"/>
    <col min="15" max="15" width="15" style="28" customWidth="1"/>
    <col min="16" max="16" width="15.28515625" customWidth="1"/>
    <col min="17" max="17" width="11" customWidth="1"/>
    <col min="18" max="18" width="18" customWidth="1"/>
  </cols>
  <sheetData>
    <row r="3" spans="2:15" x14ac:dyDescent="0.25">
      <c r="C3" s="11">
        <f>AVERAGE(C6:C10)</f>
        <v>1656.2399979999998</v>
      </c>
    </row>
    <row r="5" spans="2:15" ht="30" x14ac:dyDescent="0.25">
      <c r="B5" s="5" t="s">
        <v>33</v>
      </c>
      <c r="C5" s="4" t="s">
        <v>32</v>
      </c>
      <c r="D5" s="5" t="s">
        <v>0</v>
      </c>
      <c r="E5" s="4" t="s">
        <v>1</v>
      </c>
      <c r="F5" s="4" t="s">
        <v>2</v>
      </c>
      <c r="G5" s="4" t="s">
        <v>3</v>
      </c>
      <c r="H5" s="4" t="s">
        <v>4</v>
      </c>
      <c r="I5" s="4" t="s">
        <v>5</v>
      </c>
      <c r="J5" s="4" t="s">
        <v>6</v>
      </c>
      <c r="K5" s="4" t="s">
        <v>7</v>
      </c>
      <c r="L5" s="4" t="s">
        <v>8</v>
      </c>
      <c r="M5" s="4" t="s">
        <v>9</v>
      </c>
    </row>
    <row r="6" spans="2:15" x14ac:dyDescent="0.25">
      <c r="B6" s="30" t="s">
        <v>40</v>
      </c>
      <c r="C6" s="2">
        <v>1849.0000600000001</v>
      </c>
      <c r="D6" s="2"/>
      <c r="E6" s="1">
        <v>325.94329600000003</v>
      </c>
      <c r="F6" s="16"/>
      <c r="G6" s="1">
        <v>1009</v>
      </c>
      <c r="H6" s="1"/>
      <c r="I6" s="1"/>
      <c r="J6" s="3">
        <v>1262971.8866794023</v>
      </c>
      <c r="K6" s="3"/>
      <c r="L6" s="6"/>
      <c r="M6" s="6"/>
    </row>
    <row r="7" spans="2:15" x14ac:dyDescent="0.25">
      <c r="B7" s="30">
        <v>45346</v>
      </c>
      <c r="C7" s="2">
        <v>1622.1999000000001</v>
      </c>
      <c r="D7" s="2"/>
      <c r="E7" s="1">
        <v>325.94329600000003</v>
      </c>
      <c r="F7" s="16"/>
      <c r="G7" s="1">
        <v>974.72</v>
      </c>
      <c r="H7" s="1"/>
      <c r="I7" s="1"/>
      <c r="J7" s="3">
        <v>1052445.5043511295</v>
      </c>
      <c r="K7" s="3"/>
      <c r="L7" s="6"/>
      <c r="M7" s="6"/>
    </row>
    <row r="8" spans="2:15" x14ac:dyDescent="0.25">
      <c r="B8" s="30">
        <v>45375</v>
      </c>
      <c r="C8" s="2">
        <v>1769.7000499999999</v>
      </c>
      <c r="D8" s="2"/>
      <c r="E8" s="1">
        <v>325.94329600000003</v>
      </c>
      <c r="F8" s="16"/>
      <c r="G8" s="1">
        <v>990.84</v>
      </c>
      <c r="H8" s="1"/>
      <c r="I8" s="1"/>
      <c r="J8" s="3">
        <v>1176667.7303136352</v>
      </c>
      <c r="K8" s="3"/>
      <c r="L8" s="6"/>
      <c r="M8" s="6"/>
    </row>
    <row r="9" spans="2:15" x14ac:dyDescent="0.25">
      <c r="B9" s="30" t="s">
        <v>41</v>
      </c>
      <c r="C9" s="2">
        <v>1550.7</v>
      </c>
      <c r="D9" s="2"/>
      <c r="E9" s="1">
        <v>325.94329600000003</v>
      </c>
      <c r="F9" s="16"/>
      <c r="G9" s="1">
        <v>1009.04</v>
      </c>
      <c r="H9" s="1"/>
      <c r="I9" s="1"/>
      <c r="J9" s="3">
        <v>1059278.0588928</v>
      </c>
      <c r="K9" s="3"/>
      <c r="L9" s="6"/>
      <c r="M9" s="6"/>
    </row>
    <row r="10" spans="2:15" x14ac:dyDescent="0.25">
      <c r="B10" s="30">
        <v>45436</v>
      </c>
      <c r="C10" s="2">
        <v>1489.59998</v>
      </c>
      <c r="D10" s="2"/>
      <c r="E10" s="1">
        <v>325.94329600000003</v>
      </c>
      <c r="F10" s="16"/>
      <c r="G10" s="1">
        <v>1062.3599999999999</v>
      </c>
      <c r="H10" s="1"/>
      <c r="I10" s="1"/>
      <c r="J10" s="3">
        <v>1096966.3075500657</v>
      </c>
      <c r="K10" s="3"/>
      <c r="L10" s="6"/>
      <c r="M10" s="6"/>
    </row>
    <row r="11" spans="2:15" x14ac:dyDescent="0.25">
      <c r="B11" s="30">
        <v>45467</v>
      </c>
      <c r="C11" s="12">
        <v>1540.10004</v>
      </c>
      <c r="D11" s="12"/>
      <c r="E11" s="1">
        <v>325.94329600000003</v>
      </c>
      <c r="F11" s="16"/>
      <c r="G11" s="1">
        <v>941.82</v>
      </c>
      <c r="H11" s="1"/>
      <c r="I11" s="1"/>
      <c r="J11" s="3">
        <v>948511.73646546819</v>
      </c>
      <c r="K11" s="3"/>
      <c r="L11" s="13"/>
      <c r="M11" s="13"/>
    </row>
    <row r="12" spans="2:15" x14ac:dyDescent="0.25">
      <c r="C12" s="11"/>
      <c r="J12" s="7"/>
    </row>
    <row r="13" spans="2:15" x14ac:dyDescent="0.25">
      <c r="F13" s="15"/>
    </row>
    <row r="17" spans="5:18" x14ac:dyDescent="0.25">
      <c r="E17" s="9"/>
      <c r="P17" s="14" t="s">
        <v>10</v>
      </c>
      <c r="Q17" s="14" t="s">
        <v>11</v>
      </c>
      <c r="R17" s="14" t="s">
        <v>12</v>
      </c>
    </row>
    <row r="18" spans="5:18" x14ac:dyDescent="0.25">
      <c r="O18" s="29" t="str">
        <f>B6</f>
        <v>Ene-24</v>
      </c>
      <c r="P18" s="8">
        <f>G6</f>
        <v>1009</v>
      </c>
      <c r="Q18" s="1">
        <f>E6</f>
        <v>325.94329600000003</v>
      </c>
      <c r="R18" s="8">
        <f>J6</f>
        <v>1262971.8866794023</v>
      </c>
    </row>
    <row r="19" spans="5:18" x14ac:dyDescent="0.25">
      <c r="E19" s="9"/>
      <c r="O19" s="29">
        <f t="shared" ref="O19:O23" si="0">B7</f>
        <v>45346</v>
      </c>
      <c r="P19" s="8">
        <f t="shared" ref="P19:P23" si="1">G7</f>
        <v>974.72</v>
      </c>
      <c r="Q19" s="1">
        <f t="shared" ref="Q19:Q23" si="2">E7</f>
        <v>325.94329600000003</v>
      </c>
      <c r="R19" s="8">
        <f t="shared" ref="R19:R23" si="3">J7</f>
        <v>1052445.5043511295</v>
      </c>
    </row>
    <row r="20" spans="5:18" x14ac:dyDescent="0.25">
      <c r="O20" s="29">
        <f t="shared" si="0"/>
        <v>45375</v>
      </c>
      <c r="P20" s="8">
        <f t="shared" si="1"/>
        <v>990.84</v>
      </c>
      <c r="Q20" s="1">
        <f t="shared" si="2"/>
        <v>325.94329600000003</v>
      </c>
      <c r="R20" s="8">
        <f t="shared" si="3"/>
        <v>1176667.7303136352</v>
      </c>
    </row>
    <row r="21" spans="5:18" x14ac:dyDescent="0.25">
      <c r="O21" s="29" t="str">
        <f t="shared" si="0"/>
        <v>Abr-24</v>
      </c>
      <c r="P21" s="8">
        <f t="shared" si="1"/>
        <v>1009.04</v>
      </c>
      <c r="Q21" s="1">
        <f t="shared" si="2"/>
        <v>325.94329600000003</v>
      </c>
      <c r="R21" s="8">
        <f t="shared" si="3"/>
        <v>1059278.0588928</v>
      </c>
    </row>
    <row r="22" spans="5:18" x14ac:dyDescent="0.25">
      <c r="O22" s="29">
        <f t="shared" si="0"/>
        <v>45436</v>
      </c>
      <c r="P22" s="8">
        <f t="shared" si="1"/>
        <v>1062.3599999999999</v>
      </c>
      <c r="Q22" s="1">
        <f t="shared" si="2"/>
        <v>325.94329600000003</v>
      </c>
      <c r="R22" s="8">
        <f t="shared" si="3"/>
        <v>1096966.3075500657</v>
      </c>
    </row>
    <row r="23" spans="5:18" x14ac:dyDescent="0.25">
      <c r="O23" s="29">
        <f t="shared" si="0"/>
        <v>45467</v>
      </c>
      <c r="P23" s="8">
        <f t="shared" si="1"/>
        <v>941.82</v>
      </c>
      <c r="Q23" s="1">
        <f t="shared" si="2"/>
        <v>325.94329600000003</v>
      </c>
      <c r="R23" s="8">
        <f t="shared" si="3"/>
        <v>948511.73646546819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0DEF4-208F-4799-9163-FF6A583C6D37}">
  <sheetPr codeName="Hoja12">
    <pageSetUpPr fitToPage="1"/>
  </sheetPr>
  <dimension ref="L24:O70"/>
  <sheetViews>
    <sheetView tabSelected="1" topLeftCell="A16" zoomScale="142" zoomScaleNormal="142" zoomScaleSheetLayoutView="100" workbookViewId="0">
      <selection activeCell="M23" sqref="M23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2" max="12" width="20.85546875" bestFit="1" customWidth="1"/>
    <col min="14" max="14" width="18.42578125" bestFit="1" customWidth="1"/>
    <col min="15" max="15" width="53.5703125" customWidth="1"/>
  </cols>
  <sheetData>
    <row r="24" spans="12:12" x14ac:dyDescent="0.25">
      <c r="L24" s="27"/>
    </row>
    <row r="52" spans="12:15" ht="15.75" x14ac:dyDescent="0.3">
      <c r="L52" s="10" t="s">
        <v>34</v>
      </c>
      <c r="M52">
        <v>1</v>
      </c>
      <c r="N52" s="18" t="s">
        <v>13</v>
      </c>
      <c r="O52" s="20">
        <v>44927</v>
      </c>
    </row>
    <row r="53" spans="12:15" ht="15.75" x14ac:dyDescent="0.3">
      <c r="M53">
        <v>2</v>
      </c>
      <c r="N53" s="18" t="s">
        <v>14</v>
      </c>
      <c r="O53" s="20">
        <v>44957</v>
      </c>
    </row>
    <row r="54" spans="12:15" ht="18" x14ac:dyDescent="0.35">
      <c r="M54">
        <v>3</v>
      </c>
      <c r="N54" s="17" t="s">
        <v>15</v>
      </c>
      <c r="O54" s="26">
        <v>30</v>
      </c>
    </row>
    <row r="55" spans="12:15" ht="18" x14ac:dyDescent="0.35">
      <c r="M55">
        <v>4</v>
      </c>
      <c r="N55" s="18" t="s">
        <v>16</v>
      </c>
      <c r="O55" s="34">
        <v>1546523.452</v>
      </c>
    </row>
    <row r="56" spans="12:15" ht="18" x14ac:dyDescent="0.35">
      <c r="M56">
        <v>5</v>
      </c>
      <c r="N56" s="17" t="s">
        <v>17</v>
      </c>
      <c r="O56" s="34">
        <v>9825361.4519999996</v>
      </c>
    </row>
    <row r="57" spans="12:15" x14ac:dyDescent="0.25">
      <c r="M57">
        <v>6</v>
      </c>
      <c r="N57" s="17" t="s">
        <v>18</v>
      </c>
      <c r="O57" s="21" t="s">
        <v>35</v>
      </c>
    </row>
    <row r="58" spans="12:15" x14ac:dyDescent="0.25">
      <c r="M58">
        <v>7</v>
      </c>
      <c r="N58" s="17" t="s">
        <v>19</v>
      </c>
      <c r="O58" s="33">
        <v>15465.52</v>
      </c>
    </row>
    <row r="59" spans="12:15" x14ac:dyDescent="0.25">
      <c r="M59">
        <v>8</v>
      </c>
      <c r="N59" s="17" t="s">
        <v>20</v>
      </c>
      <c r="O59" s="32">
        <v>1145.8656000000001</v>
      </c>
    </row>
    <row r="60" spans="12:15" ht="18" x14ac:dyDescent="0.35">
      <c r="M60">
        <v>9</v>
      </c>
      <c r="N60" s="17" t="s">
        <v>21</v>
      </c>
      <c r="O60" s="31">
        <v>5519854.2054000003</v>
      </c>
    </row>
    <row r="61" spans="12:15" ht="15.75" x14ac:dyDescent="0.3">
      <c r="M61">
        <v>10</v>
      </c>
      <c r="N61" s="17" t="s">
        <v>22</v>
      </c>
      <c r="O61" s="25">
        <v>44958</v>
      </c>
    </row>
    <row r="62" spans="12:15" x14ac:dyDescent="0.25">
      <c r="M62">
        <v>11</v>
      </c>
      <c r="N62" s="17" t="s">
        <v>23</v>
      </c>
      <c r="O62" s="21" t="s">
        <v>36</v>
      </c>
    </row>
    <row r="63" spans="12:15" ht="15.75" x14ac:dyDescent="0.3">
      <c r="M63">
        <v>12</v>
      </c>
      <c r="N63" s="18" t="s">
        <v>24</v>
      </c>
      <c r="O63" s="23" t="s">
        <v>37</v>
      </c>
    </row>
    <row r="64" spans="12:15" ht="16.5" x14ac:dyDescent="0.35">
      <c r="M64">
        <v>13</v>
      </c>
      <c r="N64" s="18" t="s">
        <v>25</v>
      </c>
      <c r="O64" s="22" t="s">
        <v>38</v>
      </c>
    </row>
    <row r="65" spans="13:15" ht="18" x14ac:dyDescent="0.35">
      <c r="M65">
        <v>14</v>
      </c>
      <c r="N65" s="18" t="s">
        <v>26</v>
      </c>
      <c r="O65" s="35">
        <v>58626845.522</v>
      </c>
    </row>
    <row r="66" spans="13:15" ht="18" x14ac:dyDescent="0.35">
      <c r="M66">
        <v>15</v>
      </c>
      <c r="N66" s="17" t="s">
        <v>27</v>
      </c>
      <c r="O66" s="35">
        <v>65968458.225000001</v>
      </c>
    </row>
    <row r="67" spans="13:15" ht="18" x14ac:dyDescent="0.35">
      <c r="M67">
        <v>16</v>
      </c>
      <c r="N67" s="18" t="s">
        <v>28</v>
      </c>
      <c r="O67" s="36">
        <v>7745.52</v>
      </c>
    </row>
    <row r="68" spans="13:15" ht="18" x14ac:dyDescent="0.35">
      <c r="M68">
        <v>17</v>
      </c>
      <c r="N68" s="17" t="s">
        <v>29</v>
      </c>
      <c r="O68" s="36">
        <v>4489.5200000000004</v>
      </c>
    </row>
    <row r="69" spans="13:15" x14ac:dyDescent="0.25">
      <c r="M69">
        <v>18</v>
      </c>
      <c r="N69" s="18" t="s">
        <v>30</v>
      </c>
      <c r="O69" s="19" t="s">
        <v>39</v>
      </c>
    </row>
    <row r="70" spans="13:15" ht="15.75" x14ac:dyDescent="0.3">
      <c r="M70">
        <v>19</v>
      </c>
      <c r="N70" s="18" t="s">
        <v>31</v>
      </c>
      <c r="O70" s="24">
        <v>44927</v>
      </c>
    </row>
  </sheetData>
  <pageMargins left="0.23622047244094488" right="7.874015748031496E-2" top="0.39370078740157483" bottom="0.39370078740157483" header="0.19685039370078741" footer="0.11811023622047244"/>
  <pageSetup scale="97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56EA12-9D37-4009-A23D-41BC2243E912}">
  <ds:schemaRefs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http://www.w3.org/XML/1998/namespace"/>
    <ds:schemaRef ds:uri="http://schemas.microsoft.com/office/2006/documentManagement/types"/>
    <ds:schemaRef ds:uri="028637a7-893d-428e-af8a-e5bc0dc76cd8"/>
    <ds:schemaRef ds:uri="http://schemas.openxmlformats.org/package/2006/metadata/core-properties"/>
    <ds:schemaRef ds:uri="e7313b36-24db-4a5b-8b27-fbf44eda5fe8"/>
  </ds:schemaRefs>
</ds:datastoreItem>
</file>

<file path=customXml/itemProps2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LEMONTSALONSOC_GRAPHICS</vt:lpstr>
      <vt:lpstr>LEMONT1SALONSOC</vt:lpstr>
      <vt:lpstr>LEMONT1SALONSOC!Print_Area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2024-08-09T14:06:10Z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