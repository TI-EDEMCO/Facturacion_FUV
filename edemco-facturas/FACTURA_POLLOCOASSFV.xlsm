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03ED22DD-280E-43BA-A23F-936FB5A863B8}" xr6:coauthVersionLast="36" xr6:coauthVersionMax="36" xr10:uidLastSave="{00000000-0000-0000-0000-000000000000}"/>
  <bookViews>
    <workbookView xWindow="0" yWindow="0" windowWidth="24000" windowHeight="9405" tabRatio="789" activeTab="1" xr2:uid="{97B622EB-0C47-4D02-AD4F-870D2580F108}"/>
  </bookViews>
  <sheets>
    <sheet name="POLLOCOASSFV_GRAPHICS" sheetId="16" r:id="rId1"/>
    <sheet name="POLLOCOASSFV" sheetId="17" r:id="rId2"/>
  </sheets>
  <definedNames>
    <definedName name="Print_Area" localSheetId="1">POLLOCOASSFV!$A$1:$J$48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6" l="1"/>
  <c r="O18" i="16"/>
  <c r="O19" i="16"/>
  <c r="O20" i="16"/>
  <c r="O21" i="16"/>
  <c r="O16" i="16"/>
  <c r="R16" i="16"/>
  <c r="R17" i="16" l="1"/>
  <c r="R18" i="16"/>
  <c r="R19" i="16"/>
  <c r="R20" i="16"/>
  <c r="R21" i="16"/>
  <c r="Q17" i="16"/>
  <c r="Q18" i="16"/>
  <c r="Q19" i="16"/>
  <c r="Q20" i="16"/>
  <c r="Q21" i="16"/>
  <c r="P17" i="16"/>
  <c r="P18" i="16"/>
  <c r="P19" i="16"/>
  <c r="P20" i="16"/>
  <c r="P21" i="16"/>
  <c r="Q16" i="16"/>
  <c r="P16" i="16" l="1"/>
</calcChain>
</file>

<file path=xl/sharedStrings.xml><?xml version="1.0" encoding="utf-8"?>
<sst xmlns="http://schemas.openxmlformats.org/spreadsheetml/2006/main" count="41" uniqueCount="41">
  <si>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</si>
  <si>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</si>
  <si>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</si>
  <si>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</si>
  <si>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</si>
  <si>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</si>
  <si>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</si>
  <si>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</si>
  <si>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</si>
  <si>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</si>
  <si>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</si>
  <si>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</si>
  <si>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</si>
  <si>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</si>
  <si>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</si>
  <si>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</si>
  <si>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</si>
  <si>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</si>
  <si>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</si>
  <si>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</si>
  <si>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</si>
  <si>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</si>
  <si>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</si>
  <si>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</si>
  <si>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</si>
  <si>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</si>
  <si>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</si>
  <si>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</si>
  <si>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</si>
  <si>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</si>
  <si>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</si>
  <si>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</si>
  <si>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Generación</t>
  </si>
  <si>
    <t>CUFEASDASD4654F65SA1555D</t>
  </si>
  <si>
    <t>Concepto1</t>
  </si>
  <si>
    <t>2023-01</t>
  </si>
  <si>
    <t>FACT_001</t>
  </si>
  <si>
    <t>CONT_001</t>
  </si>
  <si>
    <t>PolloCoa</t>
  </si>
  <si>
    <t>Ene-24</t>
  </si>
  <si>
    <t>Abr-24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</si>
</sst>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\ #,##0;[Red]\-&quot;$&quot;\ #,##0"/>
    <numFmt numFmtId="8" formatCode="&quot;$&quot;\ #,##0.00;[Red]\-&quot;$&quot;\ #,##0.00"/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d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.5"/>
      <color rgb="FF22362C"/>
      <name val="Trebuchet MS"/>
      <family val="2"/>
    </font>
    <font>
      <sz val="7.5"/>
      <color rgb="FF22362C"/>
      <name val="Trebuchet MS"/>
      <family val="2"/>
    </font>
    <font>
      <b/>
      <sz val="7"/>
      <color rgb="FF22362C"/>
      <name val="Trebuchet MS"/>
      <family val="2"/>
    </font>
    <font>
      <b/>
      <sz val="12"/>
      <color rgb="FF22362C"/>
      <name val="Trebuchet MS"/>
      <family val="2"/>
    </font>
    <font>
      <b/>
      <sz val="12.5"/>
      <color rgb="FF22362C"/>
      <name val="Trebuchet MS"/>
      <family val="2"/>
    </font>
    <font>
      <sz val="4"/>
      <color theme="1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168" fontId="0" fillId="0" borderId="1" xfId="0" applyNumberFormat="1" applyBorder="1"/>
    <xf numFmtId="167" fontId="0" fillId="0" borderId="1" xfId="0" applyNumberFormat="1" applyBorder="1"/>
    <xf numFmtId="6" fontId="0" fillId="0" borderId="0" xfId="0" applyNumberFormat="1"/>
    <xf numFmtId="164" fontId="0" fillId="0" borderId="1" xfId="1" applyNumberFormat="1" applyFont="1" applyFill="1" applyBorder="1"/>
    <xf numFmtId="0" fontId="2" fillId="4" borderId="2" xfId="0" applyFont="1" applyFill="1" applyBorder="1" applyAlignment="1">
      <alignment horizontal="center"/>
    </xf>
    <xf numFmtId="17" fontId="0" fillId="0" borderId="1" xfId="0" applyNumberFormat="1" applyBorder="1" applyAlignment="1">
      <alignment horizontal="center"/>
    </xf>
    <xf numFmtId="165" fontId="3" fillId="5" borderId="1" xfId="0" applyNumberFormat="1" applyFont="1" applyFill="1" applyBorder="1"/>
    <xf numFmtId="165" fontId="3" fillId="0" borderId="1" xfId="0" applyNumberFormat="1" applyFont="1" applyBorder="1"/>
    <xf numFmtId="0" fontId="0" fillId="3" borderId="0" xfId="0" applyFill="1"/>
    <xf numFmtId="14" fontId="0" fillId="0" borderId="0" xfId="0" applyNumberFormat="1"/>
    <xf numFmtId="169" fontId="4" fillId="0" borderId="0" xfId="0" applyNumberFormat="1" applyFont="1"/>
    <xf numFmtId="0" fontId="5" fillId="0" borderId="0" xfId="0" applyFont="1"/>
    <xf numFmtId="169" fontId="0" fillId="0" borderId="0" xfId="0" applyNumberFormat="1"/>
    <xf numFmtId="0" fontId="9" fillId="0" borderId="0" xfId="0" applyFont="1" applyAlignment="1">
      <alignment horizontal="left" vertical="center" indent="1"/>
    </xf>
    <xf numFmtId="4" fontId="0" fillId="0" borderId="0" xfId="0" applyNumberFormat="1"/>
    <xf numFmtId="4" fontId="6" fillId="0" borderId="0" xfId="0" applyNumberFormat="1" applyFont="1"/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167" fontId="0" fillId="0" borderId="0" xfId="0" applyNumberFormat="1"/>
    <xf numFmtId="8" fontId="0" fillId="0" borderId="0" xfId="0" applyNumberFormat="1"/>
    <xf numFmtId="4" fontId="8" fillId="0" borderId="0" xfId="0" applyNumberFormat="1" applyFont="1"/>
    <xf numFmtId="8" fontId="7" fillId="0" borderId="0" xfId="0" applyNumberFormat="1" applyFont="1"/>
    <xf numFmtId="8" fontId="7" fillId="0" borderId="0" xfId="0" applyNumberFormat="1" applyFont="1" applyAlignment="1">
      <alignment horizontal="left" vertical="center" readingOrder="1"/>
    </xf>
  </cellXfs>
  <cellStyles count="5">
    <cellStyle name="Millares" xfId="1" builtinId="3"/>
    <cellStyle name="Millares [0] 2" xfId="4" xr:uid="{DF053EFB-4EEE-4063-AE9D-5901B899946F}"/>
    <cellStyle name="Millares 2" xfId="3" xr:uid="{DC3977F5-8F4B-427A-BCD7-C6B8358AC4F8}"/>
    <cellStyle name="Millares 3" xfId="2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19" Type="http://schemas.microsoft.com/office/2017/10/relationships/person" Target="persons/person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POLLOCOASSFV_GRAPHICS!$B$6:$B$11</c:f>
              <c:strCache>
                <c:ptCount val="6"/>
                <c:pt idx="0">
                  <c:v>Ene-24</c:v>
                </c:pt>
                <c:pt idx="1">
                  <c:v>feb-24</c:v>
                </c:pt>
                <c:pt idx="2">
                  <c:v>mar-24</c:v>
                </c:pt>
                <c:pt idx="3">
                  <c:v>Abr-24</c:v>
                </c:pt>
                <c:pt idx="4">
                  <c:v>may-24</c:v>
                </c:pt>
                <c:pt idx="5">
                  <c:v>jun-24</c:v>
                </c:pt>
              </c:strCache>
            </c:strRef>
          </c:cat>
          <c:val>
            <c:numRef>
              <c:f>POLLOCOASSFV_GRAPHICS!$C$6:$C$11</c:f>
              <c:numCache>
                <c:formatCode>General</c:formatCode>
                <c:ptCount val="6"/>
                <c:pt idx="0">
                  <c:v>99420.902700000006</c:v>
                </c:pt>
                <c:pt idx="1">
                  <c:v>91129.799700000003</c:v>
                </c:pt>
                <c:pt idx="2">
                  <c:v>91546.7</c:v>
                </c:pt>
                <c:pt idx="3">
                  <c:v>91614.498600000006</c:v>
                </c:pt>
                <c:pt idx="4" formatCode="_-* #,##0.0_-;\-* #,##0.0_-;_-* &quot;-&quot;??_-;_-@_-">
                  <c:v>86818.798299999995</c:v>
                </c:pt>
                <c:pt idx="5" formatCode="_-* #,##0.0_-;\-* #,##0.0_-;_-* &quot;-&quot;??_-;_-@_-">
                  <c:v>84686.599900000001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86D-A128-67A227505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6736296007910584"/>
          <c:y val="0.21968282254713706"/>
          <c:w val="0.64854040301807625"/>
          <c:h val="0.506145319617160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POLLOCOASSFV_GRAPHICS!$P$15</c:f>
              <c:strCache>
                <c:ptCount val="1"/>
                <c:pt idx="0">
                  <c:v>EPM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POLLOCOASSFV_GRAPHICS!$O$16:$O$21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POLLOCOASSFV_GRAPHICS!$P$16:$P$21</c:f>
              <c:numCache>
                <c:formatCode>"$"\ #,##0.00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C-4348-9C21-CE2240B608BC}"/>
            </c:ext>
          </c:extLst>
        </c:ser>
        <c:ser>
          <c:idx val="1"/>
          <c:order val="1"/>
          <c:tx>
            <c:strRef>
              <c:f>POLLOCOASSFV_GRAPHICS!$Q$15</c:f>
              <c:strCache>
                <c:ptCount val="1"/>
                <c:pt idx="0">
                  <c:v>CEN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POLLOCOASSFV_GRAPHICS!$O$16:$O$21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POLLOCOASSFV_GRAPHICS!$Q$16:$Q$21</c:f>
              <c:numCache>
                <c:formatCode>General</c:formatCode>
                <c:ptCount val="6"/>
                <c:pt idx="0">
                  <c:v>155.29829320319999</c:v>
                </c:pt>
                <c:pt idx="1">
                  <c:v>155.29829320319999</c:v>
                </c:pt>
                <c:pt idx="2">
                  <c:v>155.29829320319999</c:v>
                </c:pt>
                <c:pt idx="3">
                  <c:v>155.29829320319999</c:v>
                </c:pt>
                <c:pt idx="4">
                  <c:v>155.29829320319999</c:v>
                </c:pt>
                <c:pt idx="5">
                  <c:v>155.29829320319999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C-4348-9C21-CE2240B60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strRef>
              <c:f>POLLOCOASSFV_GRAPHICS!$R$15</c:f>
              <c:strCache>
                <c:ptCount val="1"/>
                <c:pt idx="0">
                  <c:v>AHORRO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POLLOCOASSFV_GRAPHICS!$O$16:$O$21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POLLOCOASSFV_GRAPHICS!$R$16:$R$21</c:f>
              <c:numCache>
                <c:formatCode>"$"\ #,##0.00</c:formatCode>
                <c:ptCount val="6"/>
                <c:pt idx="0">
                  <c:v>84875794.326268584</c:v>
                </c:pt>
                <c:pt idx="1">
                  <c:v>74673736.010224506</c:v>
                </c:pt>
                <c:pt idx="2">
                  <c:v>76491085.96961461</c:v>
                </c:pt>
                <c:pt idx="3">
                  <c:v>78215118.402097046</c:v>
                </c:pt>
                <c:pt idx="4">
                  <c:v>78750007.368045107</c:v>
                </c:pt>
                <c:pt idx="5">
                  <c:v>66607849.096165724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C-4348-9C21-CE2240B60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208416</xdr:colOff>
      <xdr:row>47</xdr:row>
      <xdr:rowOff>140462</xdr:rowOff>
    </xdr:to>
    <xdr:pic>
      <xdr:nvPicPr>
        <xdr:cNvPr id="2" name="bg object 16">
          <a:extLst>
            <a:ext uri="{FF2B5EF4-FFF2-40B4-BE49-F238E27FC236}">
              <a16:creationId xmlns:a16="http://schemas.microsoft.com/office/drawing/2014/main" id="{3BC2ED07-012A-4DBE-80D3-C263ECD8C0F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086208" cy="9152102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98B12062-5655-481F-A8A2-CDF8DA5EFB21}"/>
            </a:ext>
          </a:extLst>
        </xdr:cNvPr>
        <xdr:cNvSpPr txBox="1"/>
      </xdr:nvSpPr>
      <xdr:spPr>
        <a:xfrm>
          <a:off x="100850" y="1380503"/>
          <a:ext cx="3232150" cy="24574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84226</xdr:colOff>
      <xdr:row>8</xdr:row>
      <xdr:rowOff>132575</xdr:rowOff>
    </xdr:from>
    <xdr:to>
      <xdr:col>1</xdr:col>
      <xdr:colOff>729155</xdr:colOff>
      <xdr:row>9</xdr:row>
      <xdr:rowOff>100195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336C3EE8-7678-4EB3-AFF2-E97D0F68B784}"/>
            </a:ext>
          </a:extLst>
        </xdr:cNvPr>
        <xdr:cNvSpPr txBox="1"/>
      </xdr:nvSpPr>
      <xdr:spPr>
        <a:xfrm>
          <a:off x="84226" y="1656575"/>
          <a:ext cx="1406929" cy="158120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80A68FA0-B606-4F03-83DD-A4365816050A}"/>
            </a:ext>
          </a:extLst>
        </xdr:cNvPr>
        <xdr:cNvSpPr/>
      </xdr:nvSpPr>
      <xdr:spPr>
        <a:xfrm>
          <a:off x="411137" y="2313114"/>
          <a:ext cx="1248410" cy="48450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30926</xdr:rowOff>
    </xdr:from>
    <xdr:to>
      <xdr:col>2</xdr:col>
      <xdr:colOff>130022</xdr:colOff>
      <xdr:row>13</xdr:row>
      <xdr:rowOff>44895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A1D0F751-D1F6-4121-AD44-3160C4887835}"/>
            </a:ext>
          </a:extLst>
        </xdr:cNvPr>
        <xdr:cNvSpPr txBox="1"/>
      </xdr:nvSpPr>
      <xdr:spPr>
        <a:xfrm>
          <a:off x="417042" y="2331770"/>
          <a:ext cx="1234506" cy="205706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2D3824D5-4C70-4CD1-B374-AFB85FAF604D}"/>
            </a:ext>
          </a:extLst>
        </xdr:cNvPr>
        <xdr:cNvSpPr/>
      </xdr:nvSpPr>
      <xdr:spPr>
        <a:xfrm>
          <a:off x="1731822" y="2313063"/>
          <a:ext cx="1248410" cy="48514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30925</xdr:rowOff>
    </xdr:from>
    <xdr:to>
      <xdr:col>3</xdr:col>
      <xdr:colOff>688708</xdr:colOff>
      <xdr:row>13</xdr:row>
      <xdr:rowOff>46113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4B9F425C-06C2-4393-9C37-4D29211E5FC0}"/>
            </a:ext>
          </a:extLst>
        </xdr:cNvPr>
        <xdr:cNvSpPr txBox="1"/>
      </xdr:nvSpPr>
      <xdr:spPr>
        <a:xfrm>
          <a:off x="1735254" y="2331769"/>
          <a:ext cx="1235743" cy="206925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CFBD2EBB-5BD7-4598-8465-53939662F36D}"/>
            </a:ext>
          </a:extLst>
        </xdr:cNvPr>
        <xdr:cNvSpPr/>
      </xdr:nvSpPr>
      <xdr:spPr>
        <a:xfrm>
          <a:off x="78048" y="2950716"/>
          <a:ext cx="3260090" cy="159448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286918</xdr:colOff>
      <xdr:row>24</xdr:row>
      <xdr:rowOff>7369</xdr:rowOff>
    </xdr:from>
    <xdr:to>
      <xdr:col>3</xdr:col>
      <xdr:colOff>252663</xdr:colOff>
      <xdr:row>25</xdr:row>
      <xdr:rowOff>4549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0D7D59F7-D1F5-4886-888A-C2D20D44109F}"/>
            </a:ext>
          </a:extLst>
        </xdr:cNvPr>
        <xdr:cNvSpPr txBox="1"/>
      </xdr:nvSpPr>
      <xdr:spPr>
        <a:xfrm>
          <a:off x="286918" y="4579369"/>
          <a:ext cx="2251745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296517</xdr:colOff>
      <xdr:row>25</xdr:row>
      <xdr:rowOff>174584</xdr:rowOff>
    </xdr:from>
    <xdr:to>
      <xdr:col>3</xdr:col>
      <xdr:colOff>383628</xdr:colOff>
      <xdr:row>26</xdr:row>
      <xdr:rowOff>111106</xdr:rowOff>
    </xdr:to>
    <xdr:sp macro="" textlink="">
      <xdr:nvSpPr>
        <xdr:cNvPr id="12" name="object 22">
          <a:extLst>
            <a:ext uri="{FF2B5EF4-FFF2-40B4-BE49-F238E27FC236}">
              <a16:creationId xmlns:a16="http://schemas.microsoft.com/office/drawing/2014/main" id="{0056050A-9560-4F80-9672-48C789CDF450}"/>
            </a:ext>
          </a:extLst>
        </xdr:cNvPr>
        <xdr:cNvSpPr txBox="1"/>
      </xdr:nvSpPr>
      <xdr:spPr>
        <a:xfrm>
          <a:off x="296517" y="4937084"/>
          <a:ext cx="2373111" cy="127022"/>
        </a:xfrm>
        <a:prstGeom prst="rect">
          <a:avLst/>
        </a:prstGeom>
      </xdr:spPr>
      <xdr:txBody>
        <a:bodyPr vert="horz" wrap="square" lIns="0" tIns="1524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0"/>
            </a:spcBef>
          </a:pPr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286308</xdr:colOff>
      <xdr:row>28</xdr:row>
      <xdr:rowOff>19164</xdr:rowOff>
    </xdr:from>
    <xdr:to>
      <xdr:col>1</xdr:col>
      <xdr:colOff>28498</xdr:colOff>
      <xdr:row>28</xdr:row>
      <xdr:rowOff>172834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48E88C78-7FC2-407C-8F0C-5BEA84A9DAA4}"/>
            </a:ext>
          </a:extLst>
        </xdr:cNvPr>
        <xdr:cNvSpPr txBox="1"/>
      </xdr:nvSpPr>
      <xdr:spPr>
        <a:xfrm>
          <a:off x="286308" y="5353164"/>
          <a:ext cx="504190" cy="153670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6186</xdr:colOff>
      <xdr:row>27</xdr:row>
      <xdr:rowOff>185553</xdr:rowOff>
    </xdr:from>
    <xdr:to>
      <xdr:col>2</xdr:col>
      <xdr:colOff>117517</xdr:colOff>
      <xdr:row>28</xdr:row>
      <xdr:rowOff>177340</xdr:rowOff>
    </xdr:to>
    <xdr:sp macro="" textlink="$O$58">
      <xdr:nvSpPr>
        <xdr:cNvPr id="15" name="object 25">
          <a:extLst>
            <a:ext uri="{FF2B5EF4-FFF2-40B4-BE49-F238E27FC236}">
              <a16:creationId xmlns:a16="http://schemas.microsoft.com/office/drawing/2014/main" id="{3E7ADEB0-7108-427D-9625-1ECAFEA7C867}"/>
            </a:ext>
          </a:extLst>
        </xdr:cNvPr>
        <xdr:cNvSpPr txBox="1"/>
      </xdr:nvSpPr>
      <xdr:spPr>
        <a:xfrm>
          <a:off x="766949" y="5362452"/>
          <a:ext cx="872094" cy="183524"/>
        </a:xfrm>
        <a:prstGeom prst="rect">
          <a:avLst/>
        </a:prstGeom>
      </xdr:spPr>
      <xdr:txBody>
        <a:bodyPr vert="horz" wrap="square" lIns="0" tIns="158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5F96A32D-4FFE-4CBC-8E9B-01172A15CE54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25"/>
              </a:spcBef>
            </a:pPr>
            <a:t>15.640,85</a:t>
          </a:fld>
          <a:endParaRPr sz="100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286309</xdr:colOff>
      <xdr:row>28</xdr:row>
      <xdr:rowOff>185289</xdr:rowOff>
    </xdr:from>
    <xdr:to>
      <xdr:col>1</xdr:col>
      <xdr:colOff>229915</xdr:colOff>
      <xdr:row>29</xdr:row>
      <xdr:rowOff>131173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5B5CD375-CA7E-4E84-9317-FB2585FC0096}"/>
            </a:ext>
          </a:extLst>
        </xdr:cNvPr>
        <xdr:cNvSpPr txBox="1"/>
      </xdr:nvSpPr>
      <xdr:spPr>
        <a:xfrm>
          <a:off x="286309" y="5519289"/>
          <a:ext cx="705606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r>
            <a:rPr sz="800" b="1" spc="254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050" baseline="3968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168757</xdr:colOff>
      <xdr:row>31</xdr:row>
      <xdr:rowOff>127419</xdr:rowOff>
    </xdr:from>
    <xdr:to>
      <xdr:col>2</xdr:col>
      <xdr:colOff>671042</xdr:colOff>
      <xdr:row>32</xdr:row>
      <xdr:rowOff>140978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8F0E0CFF-9974-411E-8FC1-CB47A23B6622}"/>
            </a:ext>
          </a:extLst>
        </xdr:cNvPr>
        <xdr:cNvSpPr txBox="1"/>
      </xdr:nvSpPr>
      <xdr:spPr>
        <a:xfrm>
          <a:off x="168757" y="6032919"/>
          <a:ext cx="2026285" cy="204059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Total</a:t>
          </a:r>
          <a:r>
            <a:rPr sz="900" b="1" kern="1200" spc="35">
              <a:solidFill>
                <a:srgbClr val="2E463A"/>
              </a:solidFill>
              <a:latin typeface="Trebuchet MS"/>
              <a:ea typeface="+mn-ea"/>
              <a:cs typeface="Trebuchet MS"/>
            </a:rPr>
            <a:t>:	</a:t>
          </a:r>
          <a:endParaRPr sz="900" b="1" kern="1200" spc="35">
            <a:solidFill>
              <a:srgbClr val="273C18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3</xdr:col>
      <xdr:colOff>105841</xdr:colOff>
      <xdr:row>31</xdr:row>
      <xdr:rowOff>65697</xdr:rowOff>
    </xdr:from>
    <xdr:to>
      <xdr:col>4</xdr:col>
      <xdr:colOff>448741</xdr:colOff>
      <xdr:row>33</xdr:row>
      <xdr:rowOff>19707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2B5CB5B1-88D5-4927-939D-27C98F6FEA01}"/>
            </a:ext>
          </a:extLst>
        </xdr:cNvPr>
        <xdr:cNvSpPr txBox="1"/>
      </xdr:nvSpPr>
      <xdr:spPr>
        <a:xfrm>
          <a:off x="2391841" y="5971197"/>
          <a:ext cx="1104900" cy="335010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Pagar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hasta</a:t>
          </a:r>
          <a:r>
            <a:rPr sz="800" b="1" spc="-2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0">
              <a:solidFill>
                <a:srgbClr val="FFFFFF"/>
              </a:solidFill>
              <a:latin typeface="Trebuchet MS"/>
              <a:cs typeface="Trebuchet MS"/>
            </a:rPr>
            <a:t>el</a:t>
          </a: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D877B168-601F-45FD-8BD4-E10524CC415D}"/>
            </a:ext>
          </a:extLst>
        </xdr:cNvPr>
        <xdr:cNvSpPr txBox="1"/>
      </xdr:nvSpPr>
      <xdr:spPr>
        <a:xfrm>
          <a:off x="2034591" y="7587094"/>
          <a:ext cx="1287145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99DCC053-CBAF-46C8-A976-4EC64FBA62F3}"/>
            </a:ext>
          </a:extLst>
        </xdr:cNvPr>
        <xdr:cNvSpPr txBox="1"/>
      </xdr:nvSpPr>
      <xdr:spPr>
        <a:xfrm>
          <a:off x="2040432" y="7687043"/>
          <a:ext cx="817244" cy="123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43078</xdr:colOff>
      <xdr:row>45</xdr:row>
      <xdr:rowOff>139827</xdr:rowOff>
    </xdr:from>
    <xdr:to>
      <xdr:col>4</xdr:col>
      <xdr:colOff>332003</xdr:colOff>
      <xdr:row>46</xdr:row>
      <xdr:rowOff>95042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6F9A6BE2-158B-4851-A6DD-FC8F6B4C70B7}"/>
            </a:ext>
          </a:extLst>
        </xdr:cNvPr>
        <xdr:cNvSpPr txBox="1"/>
      </xdr:nvSpPr>
      <xdr:spPr>
        <a:xfrm>
          <a:off x="43078" y="8712327"/>
          <a:ext cx="3336925" cy="14571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72080</xdr:rowOff>
    </xdr:from>
    <xdr:to>
      <xdr:col>3</xdr:col>
      <xdr:colOff>652577</xdr:colOff>
      <xdr:row>47</xdr:row>
      <xdr:rowOff>21834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96459CCA-0384-4C47-A171-5289975E38FB}"/>
            </a:ext>
          </a:extLst>
        </xdr:cNvPr>
        <xdr:cNvSpPr txBox="1"/>
      </xdr:nvSpPr>
      <xdr:spPr>
        <a:xfrm>
          <a:off x="495097" y="8835080"/>
          <a:ext cx="2443480" cy="140254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18923</xdr:colOff>
      <xdr:row>34</xdr:row>
      <xdr:rowOff>24409</xdr:rowOff>
    </xdr:from>
    <xdr:to>
      <xdr:col>4</xdr:col>
      <xdr:colOff>370713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AD2D4BDD-6A40-4A38-8FD6-492C26A80FA9}"/>
            </a:ext>
          </a:extLst>
        </xdr:cNvPr>
        <xdr:cNvSpPr txBox="1"/>
      </xdr:nvSpPr>
      <xdr:spPr>
        <a:xfrm>
          <a:off x="18923" y="65014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3760804F-27B9-45FB-829A-6E4F89CB8017}"/>
            </a:ext>
          </a:extLst>
        </xdr:cNvPr>
        <xdr:cNvSpPr txBox="1"/>
      </xdr:nvSpPr>
      <xdr:spPr>
        <a:xfrm>
          <a:off x="3610406" y="6043879"/>
          <a:ext cx="3305175" cy="70612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D7ED6A0A-EAC4-4490-84A7-24A8F49DE931}"/>
            </a:ext>
          </a:extLst>
        </xdr:cNvPr>
        <xdr:cNvSpPr txBox="1"/>
      </xdr:nvSpPr>
      <xdr:spPr>
        <a:xfrm>
          <a:off x="3616884" y="6812826"/>
          <a:ext cx="3306445" cy="8826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1AB240AB-DA0E-4AFC-908D-09D826D32518}"/>
            </a:ext>
          </a:extLst>
        </xdr:cNvPr>
        <xdr:cNvGrpSpPr/>
      </xdr:nvGrpSpPr>
      <xdr:grpSpPr>
        <a:xfrm>
          <a:off x="2120889" y="6032"/>
          <a:ext cx="4786036" cy="7726249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FEB5E404-5892-E5A1-7610-B016E70A4C5E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6A682705-0FD0-E1E2-BBF5-1926C6C88A63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4537A817-9B3C-932B-6A02-20BBED58B3B6}"/>
              </a:ext>
            </a:extLst>
          </xdr:cNvPr>
          <xdr:cNvSpPr/>
        </xdr:nvSpPr>
        <xdr:spPr>
          <a:xfrm>
            <a:off x="4235703" y="2206015"/>
            <a:ext cx="1250950" cy="484505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77BCB18D-BA90-5E1E-D903-FAF70175A48D}"/>
              </a:ext>
            </a:extLst>
          </xdr:cNvPr>
          <xdr:cNvSpPr/>
        </xdr:nvSpPr>
        <xdr:spPr>
          <a:xfrm>
            <a:off x="4230877" y="2200554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0</xdr:col>
      <xdr:colOff>80264</xdr:colOff>
      <xdr:row>9</xdr:row>
      <xdr:rowOff>94613</xdr:rowOff>
    </xdr:from>
    <xdr:to>
      <xdr:col>1</xdr:col>
      <xdr:colOff>492672</xdr:colOff>
      <xdr:row>12</xdr:row>
      <xdr:rowOff>6835</xdr:rowOff>
    </xdr:to>
    <xdr:sp macro="" textlink="">
      <xdr:nvSpPr>
        <xdr:cNvPr id="31" name="object 41">
          <a:extLst>
            <a:ext uri="{FF2B5EF4-FFF2-40B4-BE49-F238E27FC236}">
              <a16:creationId xmlns:a16="http://schemas.microsoft.com/office/drawing/2014/main" id="{958685F8-5D92-4FBB-8E1B-3584ACE4DCF0}"/>
            </a:ext>
          </a:extLst>
        </xdr:cNvPr>
        <xdr:cNvSpPr txBox="1"/>
      </xdr:nvSpPr>
      <xdr:spPr>
        <a:xfrm>
          <a:off x="80264" y="1809113"/>
          <a:ext cx="1174408" cy="483722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 </a:t>
          </a:r>
          <a:r>
            <a:rPr sz="1425" b="1" spc="5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lang="es-MX" sz="1425" b="1" spc="52" baseline="2923">
            <a:solidFill>
              <a:srgbClr val="2E463A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250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POLLOCOA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4</xdr:col>
      <xdr:colOff>565200</xdr:colOff>
      <xdr:row>40</xdr:row>
      <xdr:rowOff>151498</xdr:rowOff>
    </xdr:from>
    <xdr:to>
      <xdr:col>9</xdr:col>
      <xdr:colOff>33070</xdr:colOff>
      <xdr:row>47</xdr:row>
      <xdr:rowOff>26276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3429BC19-195B-4534-A071-D8EEA336D6DE}"/>
            </a:ext>
          </a:extLst>
        </xdr:cNvPr>
        <xdr:cNvSpPr txBox="1"/>
      </xdr:nvSpPr>
      <xdr:spPr>
        <a:xfrm>
          <a:off x="3613200" y="7771498"/>
          <a:ext cx="3306445" cy="1208278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</a:t>
          </a:r>
          <a:r>
            <a:rPr lang="es-CO" sz="550" b="1">
              <a:solidFill>
                <a:srgbClr val="273C18"/>
              </a:solidFill>
              <a:latin typeface="+mn-lt"/>
              <a:cs typeface="Calibri"/>
            </a:rPr>
            <a:t> FE1013 </a:t>
          </a: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	</a:t>
          </a:r>
          <a:endParaRPr sz="825" baseline="5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5511C61A-514E-4CE7-BB57-15A743F9B95F}"/>
            </a:ext>
          </a:extLst>
        </xdr:cNvPr>
        <xdr:cNvSpPr txBox="1"/>
      </xdr:nvSpPr>
      <xdr:spPr>
        <a:xfrm>
          <a:off x="4245915" y="1334071"/>
          <a:ext cx="66230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6DD6AAB9-E67C-4DD7-91C7-F339FB33864C}"/>
            </a:ext>
          </a:extLst>
        </xdr:cNvPr>
        <xdr:cNvGrpSpPr/>
      </xdr:nvGrpSpPr>
      <xdr:grpSpPr>
        <a:xfrm>
          <a:off x="5253350" y="1321580"/>
          <a:ext cx="1259271" cy="493867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C1640058-EF60-065C-311A-DDF2073A3E30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9E4779AB-DE81-822C-FF24-5664BF3F5425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77319910-1610-4A79-ACBC-4A0E96736670}"/>
            </a:ext>
          </a:extLst>
        </xdr:cNvPr>
        <xdr:cNvSpPr txBox="1"/>
      </xdr:nvSpPr>
      <xdr:spPr>
        <a:xfrm>
          <a:off x="5456224" y="1334960"/>
          <a:ext cx="88519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5E2C89A2-1608-493A-8229-A4D503FDBFC8}"/>
            </a:ext>
          </a:extLst>
        </xdr:cNvPr>
        <xdr:cNvSpPr txBox="1"/>
      </xdr:nvSpPr>
      <xdr:spPr>
        <a:xfrm>
          <a:off x="4168385" y="1556966"/>
          <a:ext cx="906780" cy="19345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705097</xdr:colOff>
      <xdr:row>8</xdr:row>
      <xdr:rowOff>25651</xdr:rowOff>
    </xdr:from>
    <xdr:to>
      <xdr:col>8</xdr:col>
      <xdr:colOff>414399</xdr:colOff>
      <xdr:row>9</xdr:row>
      <xdr:rowOff>5050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81846371-5D2F-4546-96BA-E8CD684970EB}"/>
            </a:ext>
          </a:extLst>
        </xdr:cNvPr>
        <xdr:cNvSpPr txBox="1"/>
      </xdr:nvSpPr>
      <xdr:spPr>
        <a:xfrm>
          <a:off x="5269675" y="1559547"/>
          <a:ext cx="1230828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B9A60932-464D-45AA-8AED-BA242646C811}" type="TxLink">
            <a:rPr lang="en-US" sz="1050" b="1" i="0" u="none" strike="noStrike" kern="1200" spc="-70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$ 65.968.485.251,53</a:t>
          </a:fld>
          <a:endParaRPr sz="1050" b="1" kern="1200" spc="-7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72CE55CA-0183-46A5-BFAD-4AC14AC6BE4C}"/>
            </a:ext>
          </a:extLst>
        </xdr:cNvPr>
        <xdr:cNvSpPr/>
      </xdr:nvSpPr>
      <xdr:spPr>
        <a:xfrm>
          <a:off x="3938595" y="5270122"/>
          <a:ext cx="1270333" cy="48770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7508F6D4-E824-4104-B02D-99204F8ECFE2}"/>
            </a:ext>
          </a:extLst>
        </xdr:cNvPr>
        <xdr:cNvSpPr/>
      </xdr:nvSpPr>
      <xdr:spPr>
        <a:xfrm>
          <a:off x="3934626" y="5265180"/>
          <a:ext cx="1282239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B1DF9AE0-A87C-4906-AF0A-D1D7E645743E}"/>
            </a:ext>
          </a:extLst>
        </xdr:cNvPr>
        <xdr:cNvSpPr/>
      </xdr:nvSpPr>
      <xdr:spPr>
        <a:xfrm>
          <a:off x="5282218" y="5270061"/>
          <a:ext cx="1238248" cy="48893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C7A73197-4A96-4A99-B9A0-35A3CBC7A411}"/>
            </a:ext>
          </a:extLst>
        </xdr:cNvPr>
        <xdr:cNvSpPr/>
      </xdr:nvSpPr>
      <xdr:spPr>
        <a:xfrm>
          <a:off x="5278249" y="5266138"/>
          <a:ext cx="1250154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4</xdr:col>
      <xdr:colOff>736024</xdr:colOff>
      <xdr:row>28</xdr:row>
      <xdr:rowOff>142258</xdr:rowOff>
    </xdr:from>
    <xdr:to>
      <xdr:col>6</xdr:col>
      <xdr:colOff>235034</xdr:colOff>
      <xdr:row>29</xdr:row>
      <xdr:rowOff>173183</xdr:rowOff>
    </xdr:to>
    <xdr:sp macro="" textlink="$O$67">
      <xdr:nvSpPr>
        <xdr:cNvPr id="44" name="object 80">
          <a:extLst>
            <a:ext uri="{FF2B5EF4-FFF2-40B4-BE49-F238E27FC236}">
              <a16:creationId xmlns:a16="http://schemas.microsoft.com/office/drawing/2014/main" id="{C4C8E5B2-A67A-4438-A552-E1D6C3998BE1}"/>
            </a:ext>
          </a:extLst>
        </xdr:cNvPr>
        <xdr:cNvSpPr txBox="1"/>
      </xdr:nvSpPr>
      <xdr:spPr>
        <a:xfrm>
          <a:off x="3779076" y="5510894"/>
          <a:ext cx="1020536" cy="222662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 algn="l">
            <a:lnSpc>
              <a:spcPct val="100000"/>
            </a:lnSpc>
            <a:spcBef>
              <a:spcPts val="535"/>
            </a:spcBef>
          </a:pPr>
          <a:fld id="{5DD52A88-F6B2-4971-B205-16F6EE863184}" type="TxLink">
            <a:rPr lang="en-US" sz="1050" b="1" i="0" u="none" strike="noStrike" spc="-1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176530" algn="l">
              <a:lnSpc>
                <a:spcPct val="100000"/>
              </a:lnSpc>
              <a:spcBef>
                <a:spcPts val="535"/>
              </a:spcBef>
            </a:pPr>
            <a:t>774.545,00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445324</xdr:colOff>
      <xdr:row>28</xdr:row>
      <xdr:rowOff>142257</xdr:rowOff>
    </xdr:from>
    <xdr:to>
      <xdr:col>8</xdr:col>
      <xdr:colOff>74221</xdr:colOff>
      <xdr:row>30</xdr:row>
      <xdr:rowOff>24741</xdr:rowOff>
    </xdr:to>
    <xdr:sp macro="" textlink="$O$68">
      <xdr:nvSpPr>
        <xdr:cNvPr id="45" name="object 81">
          <a:extLst>
            <a:ext uri="{FF2B5EF4-FFF2-40B4-BE49-F238E27FC236}">
              <a16:creationId xmlns:a16="http://schemas.microsoft.com/office/drawing/2014/main" id="{733FFCC1-2BE4-48B3-B44D-C3091345CE9F}"/>
            </a:ext>
          </a:extLst>
        </xdr:cNvPr>
        <xdr:cNvSpPr txBox="1"/>
      </xdr:nvSpPr>
      <xdr:spPr>
        <a:xfrm>
          <a:off x="5009902" y="5510893"/>
          <a:ext cx="1150423" cy="265958"/>
        </a:xfrm>
        <a:prstGeom prst="rect">
          <a:avLst/>
        </a:prstGeom>
      </xdr:spPr>
      <xdr:txBody>
        <a:bodyPr vert="horz" wrap="square" lIns="0" tIns="673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 algn="l">
            <a:lnSpc>
              <a:spcPct val="100000"/>
            </a:lnSpc>
            <a:spcBef>
              <a:spcPts val="530"/>
            </a:spcBef>
          </a:pPr>
          <a:fld id="{117023A7-226F-43A1-9D42-E88B29BFD6F9}" type="TxLink">
            <a:rPr lang="en-US" sz="1050" b="1" i="0" u="none" strike="noStrike" spc="-1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292100" algn="l">
              <a:lnSpc>
                <a:spcPct val="100000"/>
              </a:lnSpc>
              <a:spcBef>
                <a:spcPts val="530"/>
              </a:spcBef>
            </a:pPr>
            <a:t>4.455,55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624972</xdr:colOff>
      <xdr:row>44</xdr:row>
      <xdr:rowOff>33001</xdr:rowOff>
    </xdr:from>
    <xdr:to>
      <xdr:col>4</xdr:col>
      <xdr:colOff>478221</xdr:colOff>
      <xdr:row>45</xdr:row>
      <xdr:rowOff>130814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55D8B2AE-13EC-4B02-BE8C-0153D394DE96}"/>
            </a:ext>
          </a:extLst>
        </xdr:cNvPr>
        <xdr:cNvSpPr txBox="1"/>
      </xdr:nvSpPr>
      <xdr:spPr>
        <a:xfrm>
          <a:off x="624972" y="8415001"/>
          <a:ext cx="2901249" cy="288313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800" b="1" kern="1200" spc="5">
              <a:solidFill>
                <a:srgbClr val="273C18"/>
              </a:solidFill>
              <a:latin typeface="Trebuchet MS"/>
              <a:ea typeface="+mn-ea"/>
              <a:cs typeface="Trebuchet MS"/>
            </a:rPr>
            <a:t>CR 62 B 33 SUR 93 VDA LA VERDE CORR SAN ANTONIO DE PRADO</a:t>
          </a:r>
          <a:endParaRPr sz="800" b="1" kern="1200" spc="5">
            <a:solidFill>
              <a:srgbClr val="273C18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0</xdr:colOff>
      <xdr:row>41</xdr:row>
      <xdr:rowOff>109975</xdr:rowOff>
    </xdr:from>
    <xdr:to>
      <xdr:col>3</xdr:col>
      <xdr:colOff>525517</xdr:colOff>
      <xdr:row>44</xdr:row>
      <xdr:rowOff>22582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F1DFCEAA-58A4-41D7-99CC-C1D0C3A78DA7}"/>
            </a:ext>
          </a:extLst>
        </xdr:cNvPr>
        <xdr:cNvSpPr txBox="1"/>
      </xdr:nvSpPr>
      <xdr:spPr>
        <a:xfrm>
          <a:off x="0" y="7920475"/>
          <a:ext cx="2811517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MX" sz="1350" b="1" spc="142" baseline="-6172">
              <a:solidFill>
                <a:srgbClr val="2E463A"/>
              </a:solidFill>
              <a:latin typeface="Trebuchet MS"/>
              <a:cs typeface="Trebuchet MS"/>
            </a:rPr>
            <a:t>CARNICOS Y ALIMENTOS SAS</a:t>
          </a:r>
          <a:endParaRPr lang="es-CO" sz="800" b="1" spc="15" baseline="0">
            <a:solidFill>
              <a:srgbClr val="22362C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Nit: </a:t>
          </a: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900134841</a:t>
          </a:r>
        </a:p>
      </xdr:txBody>
    </xdr:sp>
    <xdr:clientData/>
  </xdr:twoCellAnchor>
  <xdr:twoCellAnchor>
    <xdr:from>
      <xdr:col>0</xdr:col>
      <xdr:colOff>29056</xdr:colOff>
      <xdr:row>44</xdr:row>
      <xdr:rowOff>33490</xdr:rowOff>
    </xdr:from>
    <xdr:to>
      <xdr:col>0</xdr:col>
      <xdr:colOff>621511</xdr:colOff>
      <xdr:row>45</xdr:row>
      <xdr:rowOff>24600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30193131-E2CC-4C47-AFEA-788EACF9EC25}"/>
            </a:ext>
          </a:extLst>
        </xdr:cNvPr>
        <xdr:cNvSpPr txBox="1"/>
      </xdr:nvSpPr>
      <xdr:spPr>
        <a:xfrm>
          <a:off x="29056" y="8415490"/>
          <a:ext cx="592455" cy="18161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24790</xdr:colOff>
      <xdr:row>38</xdr:row>
      <xdr:rowOff>68032</xdr:rowOff>
    </xdr:from>
    <xdr:to>
      <xdr:col>1</xdr:col>
      <xdr:colOff>693683</xdr:colOff>
      <xdr:row>41</xdr:row>
      <xdr:rowOff>185888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4E98D96E-67F9-4CDB-82F5-00EC392C2DB3}"/>
            </a:ext>
          </a:extLst>
        </xdr:cNvPr>
        <xdr:cNvSpPr txBox="1"/>
      </xdr:nvSpPr>
      <xdr:spPr>
        <a:xfrm>
          <a:off x="24790" y="7307032"/>
          <a:ext cx="1430893" cy="689356"/>
        </a:xfrm>
        <a:prstGeom prst="rect">
          <a:avLst/>
        </a:prstGeom>
        <a:noFill/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r>
            <a:rPr sz="800" b="1" spc="26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800">
            <a:solidFill>
              <a:srgbClr val="34523B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r>
            <a:rPr lang="es-MX" sz="9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900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DBAD6FEC-1AC1-4C55-A98D-BB938664CDD4}"/>
            </a:ext>
          </a:extLst>
        </xdr:cNvPr>
        <xdr:cNvSpPr txBox="1"/>
      </xdr:nvSpPr>
      <xdr:spPr>
        <a:xfrm>
          <a:off x="4295825" y="108547"/>
          <a:ext cx="2022475" cy="28448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738461</xdr:colOff>
      <xdr:row>3</xdr:row>
      <xdr:rowOff>103979</xdr:rowOff>
    </xdr:from>
    <xdr:to>
      <xdr:col>7</xdr:col>
      <xdr:colOff>393021</xdr:colOff>
      <xdr:row>5</xdr:row>
      <xdr:rowOff>100804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0F2513A1-BC1D-4226-AF43-35769BEDA235}"/>
            </a:ext>
          </a:extLst>
        </xdr:cNvPr>
        <xdr:cNvSpPr txBox="1"/>
      </xdr:nvSpPr>
      <xdr:spPr>
        <a:xfrm>
          <a:off x="3786461" y="675479"/>
          <a:ext cx="1940560" cy="37782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540800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545A03DB-1270-4C28-AA79-70E1E94BC20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61752" y="1876968"/>
          <a:ext cx="587143" cy="55842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7CD2DCFE-DDC5-441F-A37C-ECE92EF71B3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021114" y="4401936"/>
          <a:ext cx="647322" cy="55293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44832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E87A76A2-4E17-45F4-A81A-6BA4811D878B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370566" cy="109014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09821B46-0196-4744-98FF-7C73BFDE85AF}"/>
            </a:ext>
          </a:extLst>
        </xdr:cNvPr>
        <xdr:cNvSpPr txBox="1"/>
      </xdr:nvSpPr>
      <xdr:spPr>
        <a:xfrm>
          <a:off x="4459880" y="1994533"/>
          <a:ext cx="2087880" cy="37846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749496D7-49BA-4E4B-9699-88B2849374D2}"/>
            </a:ext>
          </a:extLst>
        </xdr:cNvPr>
        <xdr:cNvSpPr txBox="1"/>
      </xdr:nvSpPr>
      <xdr:spPr>
        <a:xfrm>
          <a:off x="3724060" y="4353671"/>
          <a:ext cx="2000250" cy="70612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578651</xdr:colOff>
      <xdr:row>6</xdr:row>
      <xdr:rowOff>82005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4FD73555-ED66-4859-A724-2AFC1F69D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1897" y="607784"/>
          <a:ext cx="630849" cy="615316"/>
        </a:xfrm>
        <a:prstGeom prst="rect">
          <a:avLst/>
        </a:prstGeom>
      </xdr:spPr>
    </xdr:pic>
    <xdr:clientData/>
  </xdr:twoCellAnchor>
  <xdr:twoCellAnchor>
    <xdr:from>
      <xdr:col>0</xdr:col>
      <xdr:colOff>134172</xdr:colOff>
      <xdr:row>15</xdr:row>
      <xdr:rowOff>49281</xdr:rowOff>
    </xdr:from>
    <xdr:to>
      <xdr:col>4</xdr:col>
      <xdr:colOff>477900</xdr:colOff>
      <xdr:row>24</xdr:row>
      <xdr:rowOff>92103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0BC434FE-874E-4699-BF5B-3004844DA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160812</xdr:colOff>
      <xdr:row>8</xdr:row>
      <xdr:rowOff>21640</xdr:rowOff>
    </xdr:from>
    <xdr:to>
      <xdr:col>6</xdr:col>
      <xdr:colOff>616303</xdr:colOff>
      <xdr:row>9</xdr:row>
      <xdr:rowOff>1039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BA39CB45-4BD1-4984-B6BA-BDE9F98A9105}"/>
            </a:ext>
          </a:extLst>
        </xdr:cNvPr>
        <xdr:cNvSpPr txBox="1"/>
      </xdr:nvSpPr>
      <xdr:spPr>
        <a:xfrm>
          <a:off x="3964627" y="1555536"/>
          <a:ext cx="1216254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92AE346D-5D90-4968-ADCD-E7348DB69668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algn="ctr">
              <a:lnSpc>
                <a:spcPct val="100000"/>
              </a:lnSpc>
              <a:spcBef>
                <a:spcPts val="114"/>
              </a:spcBef>
            </a:pPr>
            <a:t>$ 94.586.268.511,48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661768</xdr:colOff>
      <xdr:row>13</xdr:row>
      <xdr:rowOff>22860</xdr:rowOff>
    </xdr:from>
    <xdr:to>
      <xdr:col>8</xdr:col>
      <xdr:colOff>711282</xdr:colOff>
      <xdr:row>23</xdr:row>
      <xdr:rowOff>38099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3FCC3D32-5F80-409F-B09F-0CE6FE362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747877</xdr:colOff>
      <xdr:row>8</xdr:row>
      <xdr:rowOff>124810</xdr:rowOff>
    </xdr:from>
    <xdr:to>
      <xdr:col>3</xdr:col>
      <xdr:colOff>76200</xdr:colOff>
      <xdr:row>9</xdr:row>
      <xdr:rowOff>133350</xdr:rowOff>
    </xdr:to>
    <xdr:sp macro="" textlink="$O$52">
      <xdr:nvSpPr>
        <xdr:cNvPr id="62" name="CuadroTexto 61">
          <a:extLst>
            <a:ext uri="{FF2B5EF4-FFF2-40B4-BE49-F238E27FC236}">
              <a16:creationId xmlns:a16="http://schemas.microsoft.com/office/drawing/2014/main" id="{0BFA39D4-B36A-43F0-843D-608D96B0808F}"/>
            </a:ext>
          </a:extLst>
        </xdr:cNvPr>
        <xdr:cNvSpPr txBox="1"/>
      </xdr:nvSpPr>
      <xdr:spPr>
        <a:xfrm>
          <a:off x="1509877" y="1648810"/>
          <a:ext cx="852323" cy="199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C9C7CE1-918E-48F5-BB62-13234088949C}" type="TxLink">
            <a:rPr lang="en-US" sz="850" b="1" i="0" u="none" strike="noStrike">
              <a:solidFill>
                <a:srgbClr val="273C18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01/01/2023</a:t>
          </a:fld>
          <a:endParaRPr lang="es-CO" sz="850" b="1">
            <a:solidFill>
              <a:srgbClr val="273C18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</xdr:col>
      <xdr:colOff>624709</xdr:colOff>
      <xdr:row>8</xdr:row>
      <xdr:rowOff>126124</xdr:rowOff>
    </xdr:from>
    <xdr:to>
      <xdr:col>3</xdr:col>
      <xdr:colOff>45327</xdr:colOff>
      <xdr:row>9</xdr:row>
      <xdr:rowOff>126124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3E48C328-068E-42A5-BFEB-F4F08319F909}"/>
            </a:ext>
          </a:extLst>
        </xdr:cNvPr>
        <xdr:cNvSpPr txBox="1"/>
      </xdr:nvSpPr>
      <xdr:spPr>
        <a:xfrm>
          <a:off x="2148709" y="1650124"/>
          <a:ext cx="18261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50" b="1" i="0" u="none" strike="noStrike">
              <a:solidFill>
                <a:srgbClr val="22362C"/>
              </a:solidFill>
              <a:latin typeface="Trebuchet MS" panose="020B0603020202020204" pitchFamily="34" charset="0"/>
            </a:rPr>
            <a:t>-</a:t>
          </a:r>
        </a:p>
      </xdr:txBody>
    </xdr:sp>
    <xdr:clientData/>
  </xdr:twoCellAnchor>
  <xdr:twoCellAnchor>
    <xdr:from>
      <xdr:col>2</xdr:col>
      <xdr:colOff>714374</xdr:colOff>
      <xdr:row>8</xdr:row>
      <xdr:rowOff>124482</xdr:rowOff>
    </xdr:from>
    <xdr:to>
      <xdr:col>3</xdr:col>
      <xdr:colOff>724885</xdr:colOff>
      <xdr:row>9</xdr:row>
      <xdr:rowOff>124482</xdr:rowOff>
    </xdr:to>
    <xdr:sp macro="" textlink="$O$53">
      <xdr:nvSpPr>
        <xdr:cNvPr id="64" name="CuadroTexto 63">
          <a:extLst>
            <a:ext uri="{FF2B5EF4-FFF2-40B4-BE49-F238E27FC236}">
              <a16:creationId xmlns:a16="http://schemas.microsoft.com/office/drawing/2014/main" id="{642DDC2E-5629-4A47-8969-FD23BA203864}"/>
            </a:ext>
          </a:extLst>
        </xdr:cNvPr>
        <xdr:cNvSpPr txBox="1"/>
      </xdr:nvSpPr>
      <xdr:spPr>
        <a:xfrm>
          <a:off x="2238374" y="1648482"/>
          <a:ext cx="772511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C13CD6E-FBC8-4F7C-AE4B-F833A3D39AF4}" type="TxLink">
            <a:rPr lang="en-US" sz="850" b="1" i="0" u="none" strike="noStrike">
              <a:solidFill>
                <a:srgbClr val="273C18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31/01/2023</a:t>
          </a:fld>
          <a:endParaRPr lang="es-CO" sz="850" b="1" i="0" u="none" strike="noStrike">
            <a:solidFill>
              <a:srgbClr val="273C18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</xdr:col>
      <xdr:colOff>368518</xdr:colOff>
      <xdr:row>9</xdr:row>
      <xdr:rowOff>134992</xdr:rowOff>
    </xdr:from>
    <xdr:to>
      <xdr:col>1</xdr:col>
      <xdr:colOff>723242</xdr:colOff>
      <xdr:row>10</xdr:row>
      <xdr:rowOff>121854</xdr:rowOff>
    </xdr:to>
    <xdr:sp macro="" textlink="$O$54">
      <xdr:nvSpPr>
        <xdr:cNvPr id="66" name="CuadroTexto 65">
          <a:extLst>
            <a:ext uri="{FF2B5EF4-FFF2-40B4-BE49-F238E27FC236}">
              <a16:creationId xmlns:a16="http://schemas.microsoft.com/office/drawing/2014/main" id="{16D7D958-BEF2-436C-A435-C7C4A69DA1D9}"/>
            </a:ext>
          </a:extLst>
        </xdr:cNvPr>
        <xdr:cNvSpPr txBox="1"/>
      </xdr:nvSpPr>
      <xdr:spPr>
        <a:xfrm>
          <a:off x="1130518" y="1849492"/>
          <a:ext cx="354724" cy="177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83A5836-EBF8-49EF-96B4-4C09C40D4382}" type="TxLink">
            <a:rPr lang="en-US" sz="850" b="1" i="0" u="none" strike="noStrike">
              <a:solidFill>
                <a:srgbClr val="273C18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30</a:t>
          </a:fld>
          <a:endParaRPr lang="es-CO" sz="850" b="1">
            <a:solidFill>
              <a:srgbClr val="273C18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346365</xdr:colOff>
      <xdr:row>13</xdr:row>
      <xdr:rowOff>39414</xdr:rowOff>
    </xdr:from>
    <xdr:to>
      <xdr:col>1</xdr:col>
      <xdr:colOff>680358</xdr:colOff>
      <xdr:row>14</xdr:row>
      <xdr:rowOff>137948</xdr:rowOff>
    </xdr:to>
    <xdr:sp macro="" textlink="$O$55">
      <xdr:nvSpPr>
        <xdr:cNvPr id="68" name="CuadroTexto 67">
          <a:extLst>
            <a:ext uri="{FF2B5EF4-FFF2-40B4-BE49-F238E27FC236}">
              <a16:creationId xmlns:a16="http://schemas.microsoft.com/office/drawing/2014/main" id="{5390BCEC-D196-4D5B-88C5-9B6B92EC6B05}"/>
            </a:ext>
          </a:extLst>
        </xdr:cNvPr>
        <xdr:cNvSpPr txBox="1"/>
      </xdr:nvSpPr>
      <xdr:spPr>
        <a:xfrm>
          <a:off x="346365" y="2531995"/>
          <a:ext cx="1094756" cy="290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4B0806D-6806-4429-9BBD-CDE5A7347758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algn="l"/>
            <a:t>1.546.523,47</a:t>
          </a:fld>
          <a:endParaRPr lang="es-CO" sz="11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2</xdr:col>
      <xdr:colOff>154628</xdr:colOff>
      <xdr:row>13</xdr:row>
      <xdr:rowOff>51784</xdr:rowOff>
    </xdr:from>
    <xdr:to>
      <xdr:col>3</xdr:col>
      <xdr:colOff>476251</xdr:colOff>
      <xdr:row>14</xdr:row>
      <xdr:rowOff>143749</xdr:rowOff>
    </xdr:to>
    <xdr:sp macro="" textlink="$O$56">
      <xdr:nvSpPr>
        <xdr:cNvPr id="69" name="CuadroTexto 68">
          <a:extLst>
            <a:ext uri="{FF2B5EF4-FFF2-40B4-BE49-F238E27FC236}">
              <a16:creationId xmlns:a16="http://schemas.microsoft.com/office/drawing/2014/main" id="{8FB877C8-9641-4964-B182-F024114BEACA}"/>
            </a:ext>
          </a:extLst>
        </xdr:cNvPr>
        <xdr:cNvSpPr txBox="1"/>
      </xdr:nvSpPr>
      <xdr:spPr>
        <a:xfrm>
          <a:off x="1676154" y="2544365"/>
          <a:ext cx="1082386" cy="2837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C25E978-AE60-4519-837D-9FB64ECDFB7A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 algn="l"/>
            <a:t>9.825.361,53</a:t>
          </a:fld>
          <a:endParaRPr lang="es-CO" sz="11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216008</xdr:colOff>
      <xdr:row>24</xdr:row>
      <xdr:rowOff>159191</xdr:rowOff>
    </xdr:from>
    <xdr:to>
      <xdr:col>2</xdr:col>
      <xdr:colOff>754664</xdr:colOff>
      <xdr:row>27</xdr:row>
      <xdr:rowOff>166997</xdr:rowOff>
    </xdr:to>
    <xdr:sp macro="" textlink="$O$57">
      <xdr:nvSpPr>
        <xdr:cNvPr id="73" name="CuadroTexto 72">
          <a:extLst>
            <a:ext uri="{FF2B5EF4-FFF2-40B4-BE49-F238E27FC236}">
              <a16:creationId xmlns:a16="http://schemas.microsoft.com/office/drawing/2014/main" id="{18C9FC43-732F-4031-8CE8-9082A01569B2}"/>
            </a:ext>
          </a:extLst>
        </xdr:cNvPr>
        <xdr:cNvSpPr txBox="1"/>
      </xdr:nvSpPr>
      <xdr:spPr>
        <a:xfrm>
          <a:off x="216008" y="4760879"/>
          <a:ext cx="2060182" cy="583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A1E2082-2BA0-452D-AAC7-34C4AFC7E315}" type="TxLink">
            <a:rPr lang="en-US" sz="750" b="0" i="0" u="none" strike="noStrike">
              <a:solidFill>
                <a:srgbClr val="273C18"/>
              </a:solidFill>
              <a:latin typeface="Trebuchet MS"/>
            </a:rPr>
            <a:pPr/>
            <a:t>Concepto1</a:t>
          </a:fld>
          <a:endParaRPr lang="es-CO" sz="1100">
            <a:solidFill>
              <a:srgbClr val="273C18"/>
            </a:solidFill>
          </a:endParaRPr>
        </a:p>
      </xdr:txBody>
    </xdr:sp>
    <xdr:clientData/>
  </xdr:twoCellAnchor>
  <xdr:twoCellAnchor>
    <xdr:from>
      <xdr:col>1</xdr:col>
      <xdr:colOff>154625</xdr:colOff>
      <xdr:row>28</xdr:row>
      <xdr:rowOff>129887</xdr:rowOff>
    </xdr:from>
    <xdr:to>
      <xdr:col>2</xdr:col>
      <xdr:colOff>717467</xdr:colOff>
      <xdr:row>29</xdr:row>
      <xdr:rowOff>136074</xdr:rowOff>
    </xdr:to>
    <xdr:sp macro="" textlink="$O$59">
      <xdr:nvSpPr>
        <xdr:cNvPr id="76" name="CuadroTexto 75">
          <a:extLst>
            <a:ext uri="{FF2B5EF4-FFF2-40B4-BE49-F238E27FC236}">
              <a16:creationId xmlns:a16="http://schemas.microsoft.com/office/drawing/2014/main" id="{B9078DF1-BB4E-4FA6-840D-4F77F40C1448}"/>
            </a:ext>
          </a:extLst>
        </xdr:cNvPr>
        <xdr:cNvSpPr txBox="1"/>
      </xdr:nvSpPr>
      <xdr:spPr>
        <a:xfrm>
          <a:off x="915388" y="5498523"/>
          <a:ext cx="1323605" cy="197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52D444D-23F3-4C33-8585-966120E5270D}" type="TxLink">
            <a:rPr lang="en-US" sz="10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$ 1.445,53</a:t>
          </a:fld>
          <a:endParaRPr lang="es-CO" sz="10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</xdr:col>
      <xdr:colOff>123701</xdr:colOff>
      <xdr:row>31</xdr:row>
      <xdr:rowOff>123702</xdr:rowOff>
    </xdr:from>
    <xdr:to>
      <xdr:col>2</xdr:col>
      <xdr:colOff>692727</xdr:colOff>
      <xdr:row>33</xdr:row>
      <xdr:rowOff>6568</xdr:rowOff>
    </xdr:to>
    <xdr:sp macro="" textlink="$O$60">
      <xdr:nvSpPr>
        <xdr:cNvPr id="78" name="CuadroTexto 77">
          <a:extLst>
            <a:ext uri="{FF2B5EF4-FFF2-40B4-BE49-F238E27FC236}">
              <a16:creationId xmlns:a16="http://schemas.microsoft.com/office/drawing/2014/main" id="{4170FD02-A5CC-4E7C-8DDA-FEADD658AD37}"/>
            </a:ext>
          </a:extLst>
        </xdr:cNvPr>
        <xdr:cNvSpPr txBox="1"/>
      </xdr:nvSpPr>
      <xdr:spPr>
        <a:xfrm>
          <a:off x="884464" y="6067549"/>
          <a:ext cx="1329789" cy="266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A65EB8-049B-42E2-B59A-AA0D65CB4597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$ 5.519.854,20</a:t>
          </a:fld>
          <a:endParaRPr lang="es-CO" sz="11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3</xdr:col>
      <xdr:colOff>98961</xdr:colOff>
      <xdr:row>31</xdr:row>
      <xdr:rowOff>177362</xdr:rowOff>
    </xdr:from>
    <xdr:to>
      <xdr:col>4</xdr:col>
      <xdr:colOff>451510</xdr:colOff>
      <xdr:row>33</xdr:row>
      <xdr:rowOff>45983</xdr:rowOff>
    </xdr:to>
    <xdr:sp macro="" textlink="$O$61">
      <xdr:nvSpPr>
        <xdr:cNvPr id="80" name="CuadroTexto 79">
          <a:extLst>
            <a:ext uri="{FF2B5EF4-FFF2-40B4-BE49-F238E27FC236}">
              <a16:creationId xmlns:a16="http://schemas.microsoft.com/office/drawing/2014/main" id="{C5934A8F-1863-49D3-A733-F2B0A6DAEF50}"/>
            </a:ext>
          </a:extLst>
        </xdr:cNvPr>
        <xdr:cNvSpPr txBox="1"/>
      </xdr:nvSpPr>
      <xdr:spPr>
        <a:xfrm>
          <a:off x="2381250" y="6121209"/>
          <a:ext cx="1113312" cy="252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137F64-8D3A-43B5-BBF5-5BB4EB2AB393}" type="TxLink">
            <a:rPr lang="en-US" sz="800" b="1" i="0" u="none" strike="noStrike">
              <a:solidFill>
                <a:schemeClr val="bg1"/>
              </a:solidFill>
              <a:latin typeface="Trebuchet MS" panose="020B0603020202020204" pitchFamily="34" charset="0"/>
              <a:ea typeface="Calibri"/>
              <a:cs typeface="Calibri"/>
            </a:rPr>
            <a:pPr algn="ctr"/>
            <a:t>01/02/2023</a:t>
          </a:fld>
          <a:endParaRPr lang="es-CO" sz="800" b="1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412309</xdr:colOff>
      <xdr:row>39</xdr:row>
      <xdr:rowOff>124044</xdr:rowOff>
    </xdr:from>
    <xdr:to>
      <xdr:col>1</xdr:col>
      <xdr:colOff>602810</xdr:colOff>
      <xdr:row>40</xdr:row>
      <xdr:rowOff>117474</xdr:rowOff>
    </xdr:to>
    <xdr:sp macro="" textlink="$O$62">
      <xdr:nvSpPr>
        <xdr:cNvPr id="82" name="CuadroTexto 81">
          <a:extLst>
            <a:ext uri="{FF2B5EF4-FFF2-40B4-BE49-F238E27FC236}">
              <a16:creationId xmlns:a16="http://schemas.microsoft.com/office/drawing/2014/main" id="{3B1D5953-8D23-4FC2-8C74-30FDF047FABC}"/>
            </a:ext>
          </a:extLst>
        </xdr:cNvPr>
        <xdr:cNvSpPr txBox="1"/>
      </xdr:nvSpPr>
      <xdr:spPr>
        <a:xfrm>
          <a:off x="412309" y="7601788"/>
          <a:ext cx="951264" cy="185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9E87D13-9D7C-49AA-9CB4-BA3C66210003}" type="TxLink">
            <a:rPr lang="en-US" sz="750" b="1" i="0" u="none" strike="noStrike">
              <a:solidFill>
                <a:srgbClr val="273C18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2023-01</a:t>
          </a:fld>
          <a:endParaRPr lang="es-CO" sz="750" b="1">
            <a:solidFill>
              <a:srgbClr val="273C18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561595</xdr:colOff>
      <xdr:row>40</xdr:row>
      <xdr:rowOff>54251</xdr:rowOff>
    </xdr:from>
    <xdr:to>
      <xdr:col>1</xdr:col>
      <xdr:colOff>750859</xdr:colOff>
      <xdr:row>41</xdr:row>
      <xdr:rowOff>47681</xdr:rowOff>
    </xdr:to>
    <xdr:sp macro="" textlink="$O$63">
      <xdr:nvSpPr>
        <xdr:cNvPr id="83" name="CuadroTexto 82">
          <a:extLst>
            <a:ext uri="{FF2B5EF4-FFF2-40B4-BE49-F238E27FC236}">
              <a16:creationId xmlns:a16="http://schemas.microsoft.com/office/drawing/2014/main" id="{9CF9E989-E842-4897-8B7E-6D7A6FBE5392}"/>
            </a:ext>
          </a:extLst>
        </xdr:cNvPr>
        <xdr:cNvSpPr txBox="1"/>
      </xdr:nvSpPr>
      <xdr:spPr>
        <a:xfrm>
          <a:off x="561595" y="7723732"/>
          <a:ext cx="950027" cy="185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1E4671-C7BC-4863-BAF8-4EDDE9A1D353}" type="TxLink">
            <a:rPr lang="en-US" sz="800" b="1" i="0" u="none" strike="noStrike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FACT_001</a:t>
          </a:fld>
          <a:endParaRPr lang="es-CO" sz="80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671510</xdr:colOff>
      <xdr:row>40</xdr:row>
      <xdr:rowOff>182380</xdr:rowOff>
    </xdr:from>
    <xdr:to>
      <xdr:col>2</xdr:col>
      <xdr:colOff>100011</xdr:colOff>
      <xdr:row>41</xdr:row>
      <xdr:rowOff>175810</xdr:rowOff>
    </xdr:to>
    <xdr:sp macro="" textlink="$O$64">
      <xdr:nvSpPr>
        <xdr:cNvPr id="84" name="CuadroTexto 83">
          <a:extLst>
            <a:ext uri="{FF2B5EF4-FFF2-40B4-BE49-F238E27FC236}">
              <a16:creationId xmlns:a16="http://schemas.microsoft.com/office/drawing/2014/main" id="{DFD54D68-F567-4C48-896C-CDFE982C26DE}"/>
            </a:ext>
          </a:extLst>
        </xdr:cNvPr>
        <xdr:cNvSpPr txBox="1"/>
      </xdr:nvSpPr>
      <xdr:spPr>
        <a:xfrm>
          <a:off x="671510" y="7851861"/>
          <a:ext cx="950027" cy="185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B87848D-C059-42BF-9C5D-8A158817C309}" type="TxLink">
            <a:rPr lang="en-US" sz="9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CONT_001</a:t>
          </a:fld>
          <a:endParaRPr lang="es-CO" sz="900" b="1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5</xdr:col>
      <xdr:colOff>28194</xdr:colOff>
      <xdr:row>45</xdr:row>
      <xdr:rowOff>67224</xdr:rowOff>
    </xdr:from>
    <xdr:to>
      <xdr:col>8</xdr:col>
      <xdr:colOff>606263</xdr:colOff>
      <xdr:row>46</xdr:row>
      <xdr:rowOff>14673</xdr:rowOff>
    </xdr:to>
    <xdr:sp macro="" textlink="$O$69">
      <xdr:nvSpPr>
        <xdr:cNvPr id="86" name="CuadroTexto 85">
          <a:extLst>
            <a:ext uri="{FF2B5EF4-FFF2-40B4-BE49-F238E27FC236}">
              <a16:creationId xmlns:a16="http://schemas.microsoft.com/office/drawing/2014/main" id="{6E5CAFDC-52F1-405C-9A1C-6BEC67E889D2}"/>
            </a:ext>
          </a:extLst>
        </xdr:cNvPr>
        <xdr:cNvSpPr txBox="1"/>
      </xdr:nvSpPr>
      <xdr:spPr>
        <a:xfrm>
          <a:off x="3832009" y="8695390"/>
          <a:ext cx="2860358" cy="1391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20E3E81-9847-4F0D-942C-B96D405B2D65}" type="TxLink">
            <a:rPr lang="en-US" sz="500" b="1" i="0" u="none" strike="noStrike">
              <a:solidFill>
                <a:schemeClr val="accent6">
                  <a:lumMod val="50000"/>
                </a:schemeClr>
              </a:solidFill>
              <a:latin typeface="Arial"/>
              <a:cs typeface="Arial"/>
            </a:rPr>
            <a:pPr/>
            <a:t>CUFEASDASD4654F65SA1555D</a:t>
          </a:fld>
          <a:endParaRPr lang="es-CO" sz="5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564061</xdr:colOff>
      <xdr:row>45</xdr:row>
      <xdr:rowOff>137024</xdr:rowOff>
    </xdr:from>
    <xdr:to>
      <xdr:col>7</xdr:col>
      <xdr:colOff>98962</xdr:colOff>
      <xdr:row>46</xdr:row>
      <xdr:rowOff>117516</xdr:rowOff>
    </xdr:to>
    <xdr:sp macro="" textlink="$O$70">
      <xdr:nvSpPr>
        <xdr:cNvPr id="87" name="CuadroTexto 86">
          <a:extLst>
            <a:ext uri="{FF2B5EF4-FFF2-40B4-BE49-F238E27FC236}">
              <a16:creationId xmlns:a16="http://schemas.microsoft.com/office/drawing/2014/main" id="{47C8BF9C-51E3-4E56-BADF-9CC77A242974}"/>
            </a:ext>
          </a:extLst>
        </xdr:cNvPr>
        <xdr:cNvSpPr txBox="1"/>
      </xdr:nvSpPr>
      <xdr:spPr>
        <a:xfrm>
          <a:off x="4367876" y="8765190"/>
          <a:ext cx="1056427" cy="1722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05EDE8-D0D8-486E-AA6F-B233D280C8C5}" type="TxLink">
            <a:rPr lang="en-US" sz="700" b="0" i="0" u="none" strike="noStrike">
              <a:solidFill>
                <a:srgbClr val="34523B"/>
              </a:solidFill>
              <a:latin typeface="Trebuchet MS" panose="020B0603020202020204" pitchFamily="34" charset="0"/>
              <a:ea typeface="Calibri"/>
              <a:cs typeface="Calibri"/>
            </a:rPr>
            <a:pPr/>
            <a:t>01/01/2023</a:t>
          </a:fld>
          <a:endParaRPr lang="es-CO" sz="700" b="0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</xdr:col>
      <xdr:colOff>507176</xdr:colOff>
      <xdr:row>13</xdr:row>
      <xdr:rowOff>38100</xdr:rowOff>
    </xdr:from>
    <xdr:to>
      <xdr:col>2</xdr:col>
      <xdr:colOff>204108</xdr:colOff>
      <xdr:row>14</xdr:row>
      <xdr:rowOff>114300</xdr:rowOff>
    </xdr:to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E6CD061D-0934-49B7-8D5F-972E0C6BEE6B}"/>
            </a:ext>
          </a:extLst>
        </xdr:cNvPr>
        <xdr:cNvSpPr txBox="1"/>
      </xdr:nvSpPr>
      <xdr:spPr>
        <a:xfrm>
          <a:off x="1267939" y="2530681"/>
          <a:ext cx="457695" cy="267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kwh</a:t>
          </a:r>
        </a:p>
      </xdr:txBody>
    </xdr:sp>
    <xdr:clientData/>
  </xdr:twoCellAnchor>
  <xdr:twoCellAnchor>
    <xdr:from>
      <xdr:col>3</xdr:col>
      <xdr:colOff>296884</xdr:colOff>
      <xdr:row>13</xdr:row>
      <xdr:rowOff>53810</xdr:rowOff>
    </xdr:from>
    <xdr:to>
      <xdr:col>4</xdr:col>
      <xdr:colOff>12371</xdr:colOff>
      <xdr:row>14</xdr:row>
      <xdr:rowOff>130010</xdr:rowOff>
    </xdr:to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F76BFB65-F3B4-4A50-81B3-4F2B56D4540B}"/>
            </a:ext>
          </a:extLst>
        </xdr:cNvPr>
        <xdr:cNvSpPr txBox="1"/>
      </xdr:nvSpPr>
      <xdr:spPr>
        <a:xfrm>
          <a:off x="2579173" y="2546391"/>
          <a:ext cx="476250" cy="267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kwh</a:t>
          </a:r>
        </a:p>
      </xdr:txBody>
    </xdr:sp>
    <xdr:clientData/>
  </xdr:twoCellAnchor>
  <xdr:twoCellAnchor>
    <xdr:from>
      <xdr:col>6</xdr:col>
      <xdr:colOff>74220</xdr:colOff>
      <xdr:row>28</xdr:row>
      <xdr:rowOff>158090</xdr:rowOff>
    </xdr:from>
    <xdr:to>
      <xdr:col>6</xdr:col>
      <xdr:colOff>717468</xdr:colOff>
      <xdr:row>30</xdr:row>
      <xdr:rowOff>43790</xdr:rowOff>
    </xdr:to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62A87784-7B00-4547-B79E-C49FD5844928}"/>
            </a:ext>
          </a:extLst>
        </xdr:cNvPr>
        <xdr:cNvSpPr txBox="1"/>
      </xdr:nvSpPr>
      <xdr:spPr>
        <a:xfrm>
          <a:off x="4638798" y="5526726"/>
          <a:ext cx="643248" cy="269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05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Kg</a:t>
          </a:r>
          <a:r>
            <a:rPr lang="es-CO" sz="1050" b="1" i="0" u="none" strike="noStrike" baseline="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 CO2</a:t>
          </a:r>
          <a:endParaRPr lang="es-CO" sz="1050" b="1" i="0" u="none" strike="noStrike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643246</xdr:colOff>
      <xdr:row>28</xdr:row>
      <xdr:rowOff>160812</xdr:rowOff>
    </xdr:from>
    <xdr:to>
      <xdr:col>8</xdr:col>
      <xdr:colOff>519544</xdr:colOff>
      <xdr:row>30</xdr:row>
      <xdr:rowOff>19050</xdr:rowOff>
    </xdr:to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B733FFEC-0527-422E-95BB-E97BA07AE074}"/>
            </a:ext>
          </a:extLst>
        </xdr:cNvPr>
        <xdr:cNvSpPr txBox="1"/>
      </xdr:nvSpPr>
      <xdr:spPr>
        <a:xfrm>
          <a:off x="5968587" y="5529448"/>
          <a:ext cx="637061" cy="24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05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Kg</a:t>
          </a:r>
          <a:r>
            <a:rPr lang="es-CO" sz="1050" b="1" i="0" u="none" strike="noStrike" baseline="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 CO2</a:t>
          </a:r>
          <a:endParaRPr lang="es-CO" sz="1050" b="1" i="0" u="none" strike="noStrike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476250</xdr:colOff>
      <xdr:row>27</xdr:row>
      <xdr:rowOff>162496</xdr:rowOff>
    </xdr:from>
    <xdr:to>
      <xdr:col>6</xdr:col>
      <xdr:colOff>517195</xdr:colOff>
      <xdr:row>28</xdr:row>
      <xdr:rowOff>102609</xdr:rowOff>
    </xdr:to>
    <xdr:sp macro="" textlink="">
      <xdr:nvSpPr>
        <xdr:cNvPr id="85" name="object 43">
          <a:extLst>
            <a:ext uri="{FF2B5EF4-FFF2-40B4-BE49-F238E27FC236}">
              <a16:creationId xmlns:a16="http://schemas.microsoft.com/office/drawing/2014/main" id="{030A9B75-B6A5-4820-9A94-E318882FFB0C}"/>
            </a:ext>
          </a:extLst>
        </xdr:cNvPr>
        <xdr:cNvSpPr txBox="1"/>
      </xdr:nvSpPr>
      <xdr:spPr>
        <a:xfrm>
          <a:off x="4286250" y="5305996"/>
          <a:ext cx="802945" cy="130613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lang="es-MX" sz="800" b="1" spc="-10">
              <a:solidFill>
                <a:srgbClr val="FFFFFF"/>
              </a:solidFill>
              <a:latin typeface="Trebuchet MS" panose="020B0603020202020204" pitchFamily="34" charset="0"/>
              <a:cs typeface="Trebuchet MS"/>
            </a:rPr>
            <a:t>Periodo</a:t>
          </a:r>
          <a:r>
            <a:rPr lang="es-MX" sz="800" b="1" spc="-10" baseline="0">
              <a:solidFill>
                <a:srgbClr val="FFFFFF"/>
              </a:solidFill>
              <a:latin typeface="Trebuchet MS" panose="020B0603020202020204" pitchFamily="34" charset="0"/>
              <a:cs typeface="Trebuchet MS"/>
            </a:rPr>
            <a:t> Actual</a:t>
          </a:r>
          <a:endParaRPr sz="800" b="1"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7</xdr:col>
      <xdr:colOff>352425</xdr:colOff>
      <xdr:row>27</xdr:row>
      <xdr:rowOff>161925</xdr:rowOff>
    </xdr:from>
    <xdr:to>
      <xdr:col>8</xdr:col>
      <xdr:colOff>393370</xdr:colOff>
      <xdr:row>28</xdr:row>
      <xdr:rowOff>102038</xdr:rowOff>
    </xdr:to>
    <xdr:sp macro="" textlink="">
      <xdr:nvSpPr>
        <xdr:cNvPr id="88" name="object 43">
          <a:extLst>
            <a:ext uri="{FF2B5EF4-FFF2-40B4-BE49-F238E27FC236}">
              <a16:creationId xmlns:a16="http://schemas.microsoft.com/office/drawing/2014/main" id="{EE213244-13F2-4EF9-A16C-B46FE04A4625}"/>
            </a:ext>
          </a:extLst>
        </xdr:cNvPr>
        <xdr:cNvSpPr txBox="1"/>
      </xdr:nvSpPr>
      <xdr:spPr>
        <a:xfrm>
          <a:off x="5686425" y="5305425"/>
          <a:ext cx="802945" cy="130613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lang="es-MX" sz="800" b="1" spc="-10" baseline="0">
              <a:solidFill>
                <a:srgbClr val="FFFFFF"/>
              </a:solidFill>
              <a:latin typeface="Trebuchet MS" panose="020B0603020202020204" pitchFamily="34" charset="0"/>
              <a:cs typeface="Trebuchet MS"/>
            </a:rPr>
            <a:t>Acumulado</a:t>
          </a:r>
          <a:endParaRPr sz="800" b="1">
            <a:latin typeface="Trebuchet MS" panose="020B0603020202020204" pitchFamily="34" charset="0"/>
            <a:cs typeface="Trebuchet MS"/>
          </a:endParaRPr>
        </a:p>
      </xdr:txBody>
    </xdr:sp>
    <xdr:clientData/>
  </xdr:twoCellAnchor>
  <xdr:twoCellAnchor>
    <xdr:from>
      <xdr:col>1</xdr:col>
      <xdr:colOff>687657</xdr:colOff>
      <xdr:row>27</xdr:row>
      <xdr:rowOff>154626</xdr:rowOff>
    </xdr:from>
    <xdr:to>
      <xdr:col>2</xdr:col>
      <xdr:colOff>531917</xdr:colOff>
      <xdr:row>28</xdr:row>
      <xdr:rowOff>184190</xdr:rowOff>
    </xdr:to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7F5068B6-E751-4591-87D0-AD46953711A0}"/>
            </a:ext>
          </a:extLst>
        </xdr:cNvPr>
        <xdr:cNvSpPr txBox="1"/>
      </xdr:nvSpPr>
      <xdr:spPr>
        <a:xfrm>
          <a:off x="1448420" y="5331525"/>
          <a:ext cx="605023" cy="221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000" b="1" i="0" u="none" strike="noStrike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Calibri"/>
            </a:rPr>
            <a:t>kwh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ón Fernández Patiño" id="{1D8E40E9-670E-4DFD-965E-C3240D44BC65}" userId="S::ramon.fernandez@edemco.co::83ac4bf8-513b-4112-96df-1f04505deeec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D113-716F-4F94-ADC1-2BDCF156579D}">
  <sheetPr codeName="Hoja1"/>
  <dimension ref="B5:R21"/>
  <sheetViews>
    <sheetView topLeftCell="A5" workbookViewId="0">
      <pane xSplit="7" ySplit="7" topLeftCell="H12" activePane="bottomRight" state="frozen"/>
      <selection pane="topRight" activeCell="H5" sqref="H5"/>
      <selection pane="bottomLeft" activeCell="A15" sqref="A15"/>
      <selection pane="bottomRight" activeCell="J6" sqref="J6"/>
    </sheetView>
  </sheetViews>
  <sheetFormatPr baseColWidth="10" defaultColWidth="11.42578125" defaultRowHeight="15" x14ac:dyDescent="0.25"/>
  <cols>
    <col min="1" max="1" width="12.28515625" customWidth="1"/>
    <col min="2" max="2" width="13.5703125" bestFit="1" customWidth="1"/>
    <col min="6" max="6" width="14.28515625" bestFit="1" customWidth="1"/>
    <col min="7" max="7" width="8.7109375" bestFit="1" customWidth="1"/>
    <col min="8" max="8" width="12.7109375" bestFit="1" customWidth="1"/>
    <col min="9" max="9" width="14" bestFit="1" customWidth="1"/>
    <col min="10" max="10" width="14.28515625" bestFit="1" customWidth="1"/>
    <col min="11" max="11" width="16.28515625" bestFit="1" customWidth="1"/>
    <col min="13" max="13" width="14" bestFit="1" customWidth="1"/>
    <col min="18" max="18" width="14.140625" bestFit="1" customWidth="1"/>
  </cols>
  <sheetData>
    <row r="5" spans="2:18" ht="30" x14ac:dyDescent="0.25">
      <c r="B5" s="4" t="s">
        <v>38</v>
      </c>
      <c r="C5" s="4" t="s">
        <v>32</v>
      </c>
      <c r="D5" s="5" t="s">
        <v>0</v>
      </c>
      <c r="E5" s="4" t="s">
        <v>1</v>
      </c>
      <c r="F5" s="4" t="s">
        <v>2</v>
      </c>
      <c r="G5" s="4" t="s">
        <v>3</v>
      </c>
      <c r="H5" s="4" t="s">
        <v>4</v>
      </c>
      <c r="I5" s="4" t="s">
        <v>5</v>
      </c>
      <c r="J5" s="4" t="s">
        <v>6</v>
      </c>
      <c r="K5" s="4" t="s">
        <v>7</v>
      </c>
      <c r="L5" s="4" t="s">
        <v>8</v>
      </c>
      <c r="M5" s="4" t="s">
        <v>9</v>
      </c>
    </row>
    <row r="6" spans="2:18" x14ac:dyDescent="0.25">
      <c r="B6" s="12" t="s">
        <v>39</v>
      </c>
      <c r="C6" s="23">
        <v>99420.902700000006</v>
      </c>
      <c r="D6" s="24"/>
      <c r="E6" s="23">
        <v>155.29829320319999</v>
      </c>
      <c r="F6" s="25"/>
      <c r="G6" s="23">
        <v>1009</v>
      </c>
      <c r="H6" s="23"/>
      <c r="I6" s="23"/>
      <c r="J6" s="3">
        <v>84875794.326268584</v>
      </c>
      <c r="K6" s="23"/>
      <c r="L6" s="23"/>
      <c r="M6" s="23"/>
    </row>
    <row r="7" spans="2:18" x14ac:dyDescent="0.25">
      <c r="B7" s="12">
        <v>45346</v>
      </c>
      <c r="C7" s="23">
        <v>91129.799700000003</v>
      </c>
      <c r="D7" s="24"/>
      <c r="E7" s="23">
        <v>155.29829320319999</v>
      </c>
      <c r="F7" s="25"/>
      <c r="G7" s="23">
        <v>974.72</v>
      </c>
      <c r="H7" s="23"/>
      <c r="I7" s="23"/>
      <c r="J7" s="3">
        <v>74673736.010224506</v>
      </c>
      <c r="K7" s="23"/>
      <c r="L7" s="23"/>
      <c r="M7" s="23"/>
    </row>
    <row r="8" spans="2:18" x14ac:dyDescent="0.25">
      <c r="B8" s="12">
        <v>45375</v>
      </c>
      <c r="C8" s="23">
        <v>91546.7</v>
      </c>
      <c r="D8" s="24"/>
      <c r="E8" s="23">
        <v>155.29829320319999</v>
      </c>
      <c r="F8" s="25"/>
      <c r="G8" s="23">
        <v>990.84</v>
      </c>
      <c r="H8" s="23"/>
      <c r="I8" s="23"/>
      <c r="J8" s="3">
        <v>76491085.96961461</v>
      </c>
      <c r="K8" s="23"/>
      <c r="L8" s="23"/>
      <c r="M8" s="23"/>
    </row>
    <row r="9" spans="2:18" x14ac:dyDescent="0.25">
      <c r="B9" s="12" t="s">
        <v>40</v>
      </c>
      <c r="C9" s="23">
        <v>91614.498600000006</v>
      </c>
      <c r="D9" s="24"/>
      <c r="E9" s="23">
        <v>155.29829320319999</v>
      </c>
      <c r="F9" s="25"/>
      <c r="G9" s="23">
        <v>1009.04</v>
      </c>
      <c r="H9" s="23"/>
      <c r="I9" s="23"/>
      <c r="J9" s="3">
        <v>78215118.402097046</v>
      </c>
      <c r="K9" s="23"/>
      <c r="L9" s="23"/>
      <c r="M9" s="23"/>
    </row>
    <row r="10" spans="2:18" x14ac:dyDescent="0.25">
      <c r="B10" s="12">
        <v>45436</v>
      </c>
      <c r="C10" s="2">
        <v>86818.798299999995</v>
      </c>
      <c r="D10" s="2"/>
      <c r="E10" s="1">
        <v>155.29829320319999</v>
      </c>
      <c r="F10" s="13"/>
      <c r="G10" s="1">
        <v>1062.3599999999999</v>
      </c>
      <c r="H10" s="1"/>
      <c r="I10" s="1"/>
      <c r="J10" s="3">
        <v>78750007.368045107</v>
      </c>
      <c r="K10" s="3"/>
      <c r="L10" s="6"/>
      <c r="M10" s="6"/>
    </row>
    <row r="11" spans="2:18" ht="14.25" customHeight="1" x14ac:dyDescent="0.25">
      <c r="B11" s="12">
        <v>45467</v>
      </c>
      <c r="C11" s="10">
        <v>84686.599900000001</v>
      </c>
      <c r="D11" s="10"/>
      <c r="E11" s="1">
        <v>155.29829320319999</v>
      </c>
      <c r="F11" s="14"/>
      <c r="G11" s="1">
        <v>941.82</v>
      </c>
      <c r="H11" s="1"/>
      <c r="I11" s="1"/>
      <c r="J11" s="3">
        <v>66607849.096165724</v>
      </c>
      <c r="K11" s="3"/>
      <c r="L11" s="6"/>
      <c r="M11" s="6"/>
    </row>
    <row r="15" spans="2:18" x14ac:dyDescent="0.25">
      <c r="P15" s="11" t="s">
        <v>10</v>
      </c>
      <c r="Q15" s="11" t="s">
        <v>11</v>
      </c>
      <c r="R15" s="11" t="s">
        <v>12</v>
      </c>
    </row>
    <row r="16" spans="2:18" x14ac:dyDescent="0.25">
      <c r="O16" s="7" t="str">
        <f>B6</f>
        <v>Ene-24</v>
      </c>
      <c r="P16" s="8">
        <f>G6</f>
        <v>1009</v>
      </c>
      <c r="Q16" s="1">
        <f>E6</f>
        <v>155.29829320319999</v>
      </c>
      <c r="R16" s="8">
        <f>J6</f>
        <v>84875794.326268584</v>
      </c>
    </row>
    <row r="17" spans="15:18" x14ac:dyDescent="0.25">
      <c r="O17" s="7">
        <f t="shared" ref="O17:O21" si="0">B7</f>
        <v>45346</v>
      </c>
      <c r="P17" s="8">
        <f t="shared" ref="P17:P21" si="1">G7</f>
        <v>974.72</v>
      </c>
      <c r="Q17" s="1">
        <f t="shared" ref="Q17:Q21" si="2">E7</f>
        <v>155.29829320319999</v>
      </c>
      <c r="R17" s="8">
        <f t="shared" ref="R17:R21" si="3">J7</f>
        <v>74673736.010224506</v>
      </c>
    </row>
    <row r="18" spans="15:18" x14ac:dyDescent="0.25">
      <c r="O18" s="7">
        <f t="shared" si="0"/>
        <v>45375</v>
      </c>
      <c r="P18" s="8">
        <f t="shared" si="1"/>
        <v>990.84</v>
      </c>
      <c r="Q18" s="1">
        <f t="shared" si="2"/>
        <v>155.29829320319999</v>
      </c>
      <c r="R18" s="8">
        <f t="shared" si="3"/>
        <v>76491085.96961461</v>
      </c>
    </row>
    <row r="19" spans="15:18" x14ac:dyDescent="0.25">
      <c r="O19" s="7" t="str">
        <f t="shared" si="0"/>
        <v>Abr-24</v>
      </c>
      <c r="P19" s="8">
        <f t="shared" si="1"/>
        <v>1009.04</v>
      </c>
      <c r="Q19" s="1">
        <f t="shared" si="2"/>
        <v>155.29829320319999</v>
      </c>
      <c r="R19" s="8">
        <f t="shared" si="3"/>
        <v>78215118.402097046</v>
      </c>
    </row>
    <row r="20" spans="15:18" x14ac:dyDescent="0.25">
      <c r="O20" s="7">
        <f t="shared" si="0"/>
        <v>45436</v>
      </c>
      <c r="P20" s="8">
        <f t="shared" si="1"/>
        <v>1062.3599999999999</v>
      </c>
      <c r="Q20" s="1">
        <f t="shared" si="2"/>
        <v>155.29829320319999</v>
      </c>
      <c r="R20" s="8">
        <f t="shared" si="3"/>
        <v>78750007.368045107</v>
      </c>
    </row>
    <row r="21" spans="15:18" x14ac:dyDescent="0.25">
      <c r="O21" s="7">
        <f t="shared" si="0"/>
        <v>45467</v>
      </c>
      <c r="P21" s="8">
        <f t="shared" si="1"/>
        <v>941.82</v>
      </c>
      <c r="Q21" s="1">
        <f t="shared" si="2"/>
        <v>155.29829320319999</v>
      </c>
      <c r="R21" s="8">
        <f t="shared" si="3"/>
        <v>66607849.096165724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23FE3-A30E-47B6-8533-29864D55EFA9}">
  <sheetPr codeName="Hoja2">
    <pageSetUpPr fitToPage="1"/>
  </sheetPr>
  <dimension ref="L18:O70"/>
  <sheetViews>
    <sheetView tabSelected="1" topLeftCell="A16" zoomScale="154" zoomScaleNormal="154" zoomScaleSheetLayoutView="100" workbookViewId="0">
      <selection activeCell="G51" sqref="G51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4" max="14" width="19.140625" customWidth="1"/>
    <col min="15" max="15" width="28.7109375" customWidth="1"/>
  </cols>
  <sheetData>
    <row r="18" spans="12:12" x14ac:dyDescent="0.25">
      <c r="L18" s="9"/>
    </row>
    <row r="52" spans="14:15" ht="15.75" x14ac:dyDescent="0.3">
      <c r="N52" s="15" t="s">
        <v>13</v>
      </c>
      <c r="O52" s="17">
        <v>44927</v>
      </c>
    </row>
    <row r="53" spans="14:15" x14ac:dyDescent="0.25">
      <c r="N53" s="15" t="s">
        <v>14</v>
      </c>
      <c r="O53" s="16">
        <v>44957</v>
      </c>
    </row>
    <row r="54" spans="14:15" x14ac:dyDescent="0.25">
      <c r="N54" s="15" t="s">
        <v>15</v>
      </c>
      <c r="O54">
        <v>30</v>
      </c>
    </row>
    <row r="55" spans="14:15" x14ac:dyDescent="0.25">
      <c r="N55" s="15" t="s">
        <v>16</v>
      </c>
      <c r="O55" s="21">
        <v>1546523.4714500001</v>
      </c>
    </row>
    <row r="56" spans="14:15" x14ac:dyDescent="0.25">
      <c r="N56" s="15" t="s">
        <v>17</v>
      </c>
      <c r="O56" s="21">
        <v>9825361.5250000004</v>
      </c>
    </row>
    <row r="57" spans="14:15" x14ac:dyDescent="0.25">
      <c r="N57" s="15" t="s">
        <v>18</v>
      </c>
      <c r="O57" s="18" t="s">
        <v>34</v>
      </c>
    </row>
    <row r="58" spans="14:15" x14ac:dyDescent="0.25">
      <c r="N58" s="15" t="s">
        <v>19</v>
      </c>
      <c r="O58" s="22">
        <v>15640.85</v>
      </c>
    </row>
    <row r="59" spans="14:15" x14ac:dyDescent="0.25">
      <c r="N59" s="15" t="s">
        <v>20</v>
      </c>
      <c r="O59" s="27">
        <v>1445.5250000000001</v>
      </c>
    </row>
    <row r="60" spans="14:15" x14ac:dyDescent="0.25">
      <c r="N60" s="15" t="s">
        <v>21</v>
      </c>
      <c r="O60" s="26">
        <v>5519854.2000000002</v>
      </c>
    </row>
    <row r="61" spans="14:15" x14ac:dyDescent="0.25">
      <c r="N61" s="15" t="s">
        <v>22</v>
      </c>
      <c r="O61" s="19">
        <v>44958</v>
      </c>
    </row>
    <row r="62" spans="14:15" x14ac:dyDescent="0.25">
      <c r="N62" s="15" t="s">
        <v>23</v>
      </c>
      <c r="O62" t="s">
        <v>35</v>
      </c>
    </row>
    <row r="63" spans="14:15" x14ac:dyDescent="0.25">
      <c r="N63" s="15" t="s">
        <v>24</v>
      </c>
      <c r="O63" t="s">
        <v>36</v>
      </c>
    </row>
    <row r="64" spans="14:15" x14ac:dyDescent="0.25">
      <c r="N64" s="15" t="s">
        <v>25</v>
      </c>
      <c r="O64" t="s">
        <v>37</v>
      </c>
    </row>
    <row r="65" spans="14:15" ht="18" x14ac:dyDescent="0.35">
      <c r="N65" s="15" t="s">
        <v>26</v>
      </c>
      <c r="O65" s="29">
        <v>94586268511.475006</v>
      </c>
    </row>
    <row r="66" spans="14:15" ht="18" x14ac:dyDescent="0.25">
      <c r="N66" s="15" t="s">
        <v>27</v>
      </c>
      <c r="O66" s="30">
        <v>65968485251.526497</v>
      </c>
    </row>
    <row r="67" spans="14:15" ht="18" x14ac:dyDescent="0.35">
      <c r="N67" s="15" t="s">
        <v>28</v>
      </c>
      <c r="O67" s="28">
        <v>774545</v>
      </c>
    </row>
    <row r="68" spans="14:15" ht="18" x14ac:dyDescent="0.35">
      <c r="N68" s="15" t="s">
        <v>29</v>
      </c>
      <c r="O68" s="28">
        <v>4455.5450000000001</v>
      </c>
    </row>
    <row r="69" spans="14:15" x14ac:dyDescent="0.25">
      <c r="N69" s="15" t="s">
        <v>30</v>
      </c>
      <c r="O69" s="20" t="s">
        <v>33</v>
      </c>
    </row>
    <row r="70" spans="14:15" x14ac:dyDescent="0.25">
      <c r="N70" s="15" t="s">
        <v>31</v>
      </c>
      <c r="O70" s="19">
        <v>44927</v>
      </c>
    </row>
  </sheetData>
  <pageMargins left="0.23622047244094488" right="7.874015748031496E-2" top="0.39370078740157483" bottom="0.39370078740157483" header="0.19685039370078741" footer="0.11811023622047244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56EA12-9D37-4009-A23D-41BC2243E912}">
  <ds:schemaRefs>
    <ds:schemaRef ds:uri="http://schemas.microsoft.com/office/2006/documentManagement/types"/>
    <ds:schemaRef ds:uri="e7313b36-24db-4a5b-8b27-fbf44eda5fe8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028637a7-893d-428e-af8a-e5bc0dc76cd8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POLLOCOASSFV_GRAPHICS</vt:lpstr>
      <vt:lpstr>POLLOCOASSFV</vt:lpstr>
      <vt:lpstr>POLLOCOASSFV!Print_Area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2024-08-09T14:21:19Z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