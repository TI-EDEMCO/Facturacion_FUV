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mp Tech\Desktop\macros_factura\"/>
    </mc:Choice>
  </mc:AlternateContent>
  <xr:revisionPtr revIDLastSave="0" documentId="13_ncr:1_{20E92E17-3248-45C5-A012-DD2BB8B5BDEC}" xr6:coauthVersionLast="36" xr6:coauthVersionMax="36" xr10:uidLastSave="{00000000-0000-0000-0000-000000000000}"/>
  <bookViews>
    <workbookView xWindow="0" yWindow="0" windowWidth="24000" windowHeight="9405" tabRatio="789" activeTab="1" xr2:uid="{97B622EB-0C47-4D02-AD4F-870D2580F108}"/>
  </bookViews>
  <sheets>
    <sheet name="INCUBANSSFV_GRAPHICS" sheetId="3" r:id="rId1"/>
    <sheet name="INCUBANSSFV" sheetId="11" r:id="rId2"/>
  </sheets>
  <definedNames>
    <definedName name="Print_Area" localSheetId="1">INCUBANSSFV!$A$1:$J$48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7" i="3" l="1"/>
  <c r="E19" i="3" l="1"/>
  <c r="G19" i="3" s="1"/>
  <c r="E20" i="3" s="1"/>
  <c r="Q22" i="3" l="1"/>
  <c r="P22" i="3"/>
  <c r="R22" i="3"/>
  <c r="Q21" i="3" l="1"/>
  <c r="P21" i="3"/>
  <c r="R21" i="3"/>
  <c r="Q20" i="3" l="1"/>
  <c r="P20" i="3"/>
  <c r="R20" i="3"/>
  <c r="Q19" i="3" l="1"/>
  <c r="P19" i="3"/>
  <c r="R19" i="3"/>
  <c r="Q18" i="3" l="1"/>
  <c r="P18" i="3"/>
  <c r="Q17" i="3"/>
  <c r="R18" i="3"/>
  <c r="R17" i="3" l="1"/>
</calcChain>
</file>

<file path=xl/sharedStrings.xml><?xml version="1.0" encoding="utf-8"?>
<sst xmlns="http://schemas.openxmlformats.org/spreadsheetml/2006/main" count="49" uniqueCount="49">
  <si>
    <t>Incubant</t>
  </si>
  <si>
    <t>Generación</t>
  </si>
  <si>
    <t>Generación
acumulada</t>
  </si>
  <si>
    <t>VALOR kWh</t>
  </si>
  <si>
    <t>Valor total</t>
  </si>
  <si>
    <t>Tarifa OR</t>
  </si>
  <si>
    <t>Tarifa Edemco</t>
  </si>
  <si>
    <t>diferencia tarifa</t>
  </si>
  <si>
    <t>Ahorro actual</t>
  </si>
  <si>
    <t>Ahorro acumulado</t>
  </si>
  <si>
    <t>Ahorro CO2</t>
  </si>
  <si>
    <t>Acumulado CO2</t>
  </si>
  <si>
    <t>EPM</t>
  </si>
  <si>
    <t>CEN</t>
  </si>
  <si>
    <t>AHORRO</t>
  </si>
  <si>
    <t>Descuento 50% del lucro cesante acordado entre las partes</t>
  </si>
  <si>
    <t>Fecha</t>
  </si>
  <si>
    <t xml:space="preserve">Generacion </t>
  </si>
  <si>
    <t>Valor kWh</t>
  </si>
  <si>
    <t>Valor Facturado</t>
  </si>
  <si>
    <t>Descuento</t>
  </si>
  <si>
    <t>TOTAL</t>
  </si>
  <si>
    <t>Saldo pendiente por descuento</t>
  </si>
  <si>
    <t>Fecha Ini</t>
  </si>
  <si>
    <t>Fecha Fin</t>
  </si>
  <si>
    <t>Dias consumo</t>
  </si>
  <si>
    <t>Consumo Actual</t>
  </si>
  <si>
    <t>Consumo Acumulado</t>
  </si>
  <si>
    <t>Concepto Facturado</t>
  </si>
  <si>
    <t>Cantidad</t>
  </si>
  <si>
    <t>Costo unidad</t>
  </si>
  <si>
    <t>Valor Total</t>
  </si>
  <si>
    <t>Fecha de Pago</t>
  </si>
  <si>
    <t>Factura Mes</t>
  </si>
  <si>
    <t>Factura No</t>
  </si>
  <si>
    <t>Contrato No</t>
  </si>
  <si>
    <t>Ahorro Actual</t>
  </si>
  <si>
    <t>Ahorro Acumulado</t>
  </si>
  <si>
    <t>Periodo Actual</t>
  </si>
  <si>
    <t>Periodo Acumulado</t>
  </si>
  <si>
    <t>CUFE</t>
  </si>
  <si>
    <t>Fecha CUFE</t>
  </si>
  <si>
    <t>Concepto1</t>
  </si>
  <si>
    <t>2023-01</t>
  </si>
  <si>
    <t>FACT_001</t>
  </si>
  <si>
    <t>CONT_001</t>
  </si>
  <si>
    <t>CUFEASDASD4654F65SA1555D</t>
  </si>
  <si>
    <t>Ene-24</t>
  </si>
  <si>
    <t>Abr-24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</si>
</sst>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6" formatCode="&quot;$&quot;\ #,##0;[Red]\-&quot;$&quot;\ #,##0"/>
    <numFmt numFmtId="42" formatCode="_-&quot;$&quot;\ * #,##0_-;\-&quot;$&quot;\ * #,##0_-;_-&quot;$&quot;\ * &quot;-&quot;_-;_-@_-"/>
    <numFmt numFmtId="41" formatCode="_-* #,##0_-;\-* #,##0_-;_-* &quot;-&quot;_-;_-@_-"/>
    <numFmt numFmtId="43" formatCode="_-* #,##0.00_-;\-* #,##0.00_-;_-* &quot;-&quot;??_-;_-@_-"/>
    <numFmt numFmtId="164" formatCode="_-* #,##0.0_-;\-* #,##0.0_-;_-* &quot;-&quot;??_-;_-@_-"/>
    <numFmt numFmtId="165" formatCode="_-&quot;$&quot;\ * #,##0_-;\-&quot;$&quot;\ * #,##0_-;_-&quot;$&quot;\ * &quot;-&quot;??_-;_-@_-"/>
    <numFmt numFmtId="166" formatCode="_-* #,##0_-;\-* #,##0_-;_-* &quot;-&quot;??_-;_-@_-"/>
    <numFmt numFmtId="167" formatCode="&quot;$&quot;\ #,##0.00"/>
    <numFmt numFmtId="168" formatCode="mmm\ yyyy"/>
    <numFmt numFmtId="169" formatCode="0.0"/>
    <numFmt numFmtId="170" formatCode="#,##0.0\ _€"/>
    <numFmt numFmtId="171" formatCode="_-* #,##0.0000000_-;\-* #,##0.0000000_-;_-* &quot;-&quot;??_-;_-@_-"/>
    <numFmt numFmtId="172" formatCode="[$$-240A]\ #,##0.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.5"/>
      <color rgb="FF273C18"/>
      <name val="Trebuchet MS"/>
      <family val="2"/>
    </font>
    <font>
      <b/>
      <sz val="12"/>
      <color rgb="FF273C18"/>
      <name val="Trebuchet MS"/>
      <family val="2"/>
    </font>
    <font>
      <sz val="7.5"/>
      <color rgb="FF22362C"/>
      <name val="Trebuchet MS"/>
      <family val="2"/>
    </font>
    <font>
      <sz val="7.5"/>
      <color rgb="FF273C18"/>
      <name val="Trebuchet MS"/>
      <family val="2"/>
    </font>
    <font>
      <b/>
      <sz val="8"/>
      <color rgb="FF273C18"/>
      <name val="Trebuchet MS"/>
      <family val="2"/>
    </font>
    <font>
      <b/>
      <sz val="7"/>
      <color rgb="FF273C18"/>
      <name val="Trebuchet MS"/>
      <family val="2"/>
    </font>
    <font>
      <b/>
      <sz val="9"/>
      <color rgb="FF2E463A"/>
      <name val="Trebuchet MS"/>
      <family val="2"/>
    </font>
    <font>
      <b/>
      <sz val="10"/>
      <color rgb="FF273C18"/>
      <name val="Trebuchet MS"/>
      <family val="2"/>
    </font>
    <font>
      <b/>
      <sz val="7.5"/>
      <color rgb="FF22362C"/>
      <name val="Trebuchet MS"/>
      <family val="2"/>
    </font>
    <font>
      <b/>
      <sz val="12"/>
      <color rgb="FF22362C"/>
      <name val="Trebuchet MS"/>
      <family val="2"/>
    </font>
    <font>
      <sz val="4"/>
      <color theme="1"/>
      <name val="Arial"/>
      <family val="2"/>
    </font>
    <font>
      <vertAlign val="superscript"/>
      <sz val="8.3000000000000007"/>
      <color rgb="FF273C18"/>
      <name val="Trebuchet MS"/>
      <family val="2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49998474074526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9" tint="-0.249977111117893"/>
      </left>
      <right/>
      <top/>
      <bottom/>
      <diagonal/>
    </border>
    <border>
      <left style="thin">
        <color indexed="64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-0.249977111117893"/>
      </left>
      <right/>
      <top style="thin">
        <color theme="9" tint="-0.249977111117893"/>
      </top>
      <bottom/>
      <diagonal/>
    </border>
    <border>
      <left style="thin">
        <color indexed="64"/>
      </left>
      <right style="thin">
        <color indexed="64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indexed="64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/>
      <top/>
      <bottom style="thin">
        <color theme="9" tint="-0.249977111117893"/>
      </bottom>
      <diagonal/>
    </border>
    <border>
      <left/>
      <right style="thin">
        <color theme="9" tint="-0.249977111117893"/>
      </right>
      <top/>
      <bottom/>
      <diagonal/>
    </border>
    <border>
      <left style="thin">
        <color theme="9" tint="-0.249977111117893"/>
      </left>
      <right style="thin">
        <color theme="9" tint="-0.249977111117893"/>
      </right>
      <top/>
      <bottom style="thin">
        <color theme="9" tint="-0.249977111117893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53">
    <xf numFmtId="0" fontId="0" fillId="0" borderId="0" xfId="0"/>
    <xf numFmtId="0" fontId="0" fillId="0" borderId="1" xfId="0" applyBorder="1"/>
    <xf numFmtId="164" fontId="0" fillId="0" borderId="1" xfId="1" applyNumberFormat="1" applyFont="1" applyBorder="1"/>
    <xf numFmtId="165" fontId="0" fillId="0" borderId="1" xfId="0" applyNumberFormat="1" applyBorder="1"/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166" fontId="0" fillId="0" borderId="1" xfId="1" applyNumberFormat="1" applyFont="1" applyBorder="1"/>
    <xf numFmtId="168" fontId="0" fillId="0" borderId="1" xfId="0" applyNumberFormat="1" applyBorder="1"/>
    <xf numFmtId="167" fontId="0" fillId="0" borderId="1" xfId="0" applyNumberFormat="1" applyBorder="1"/>
    <xf numFmtId="6" fontId="0" fillId="0" borderId="0" xfId="0" applyNumberFormat="1"/>
    <xf numFmtId="164" fontId="0" fillId="0" borderId="1" xfId="1" applyNumberFormat="1" applyFont="1" applyFill="1" applyBorder="1"/>
    <xf numFmtId="0" fontId="2" fillId="4" borderId="2" xfId="0" applyFont="1" applyFill="1" applyBorder="1" applyAlignment="1">
      <alignment horizontal="center"/>
    </xf>
    <xf numFmtId="165" fontId="3" fillId="5" borderId="1" xfId="0" applyNumberFormat="1" applyFont="1" applyFill="1" applyBorder="1"/>
    <xf numFmtId="169" fontId="0" fillId="0" borderId="1" xfId="0" applyNumberFormat="1" applyBorder="1"/>
    <xf numFmtId="0" fontId="0" fillId="0" borderId="3" xfId="0" applyBorder="1"/>
    <xf numFmtId="42" fontId="0" fillId="0" borderId="5" xfId="5" applyFont="1" applyBorder="1"/>
    <xf numFmtId="42" fontId="0" fillId="0" borderId="6" xfId="0" applyNumberFormat="1" applyBorder="1"/>
    <xf numFmtId="42" fontId="0" fillId="0" borderId="8" xfId="5" applyFont="1" applyBorder="1" applyAlignment="1">
      <alignment horizontal="center"/>
    </xf>
    <xf numFmtId="164" fontId="0" fillId="0" borderId="10" xfId="1" applyNumberFormat="1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17" fontId="0" fillId="0" borderId="8" xfId="0" applyNumberFormat="1" applyBorder="1" applyAlignment="1">
      <alignment horizontal="center"/>
    </xf>
    <xf numFmtId="0" fontId="0" fillId="0" borderId="11" xfId="0" applyBorder="1"/>
    <xf numFmtId="0" fontId="3" fillId="0" borderId="8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0" fillId="3" borderId="0" xfId="0" applyFill="1"/>
    <xf numFmtId="14" fontId="4" fillId="0" borderId="0" xfId="0" applyNumberFormat="1" applyFont="1"/>
    <xf numFmtId="0" fontId="4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170" fontId="9" fillId="0" borderId="0" xfId="0" applyNumberFormat="1" applyFont="1"/>
    <xf numFmtId="14" fontId="11" fillId="0" borderId="0" xfId="0" applyNumberFormat="1" applyFont="1" applyAlignment="1">
      <alignment horizontal="left" vertical="center" indent="2"/>
    </xf>
    <xf numFmtId="0" fontId="12" fillId="0" borderId="0" xfId="0" applyFont="1"/>
    <xf numFmtId="0" fontId="10" fillId="0" borderId="0" xfId="0" applyFont="1"/>
    <xf numFmtId="0" fontId="14" fillId="0" borderId="0" xfId="0" applyFont="1"/>
    <xf numFmtId="14" fontId="15" fillId="0" borderId="0" xfId="0" applyNumberFormat="1" applyFont="1"/>
    <xf numFmtId="17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171" fontId="0" fillId="0" borderId="1" xfId="1" applyNumberFormat="1" applyFont="1" applyBorder="1"/>
    <xf numFmtId="172" fontId="10" fillId="0" borderId="0" xfId="0" applyNumberFormat="1" applyFont="1"/>
    <xf numFmtId="172" fontId="9" fillId="0" borderId="0" xfId="0" applyNumberFormat="1" applyFont="1"/>
    <xf numFmtId="4" fontId="5" fillId="0" borderId="0" xfId="0" applyNumberFormat="1" applyFont="1"/>
    <xf numFmtId="172" fontId="5" fillId="0" borderId="0" xfId="0" applyNumberFormat="1" applyFont="1"/>
    <xf numFmtId="4" fontId="13" fillId="0" borderId="0" xfId="0" applyNumberFormat="1" applyFont="1"/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42" fontId="0" fillId="0" borderId="9" xfId="0" applyNumberFormat="1" applyBorder="1" applyAlignment="1">
      <alignment horizontal="center"/>
    </xf>
    <xf numFmtId="42" fontId="0" fillId="0" borderId="7" xfId="0" applyNumberFormat="1" applyBorder="1" applyAlignment="1">
      <alignment horizontal="center"/>
    </xf>
    <xf numFmtId="42" fontId="0" fillId="0" borderId="4" xfId="0" applyNumberFormat="1" applyBorder="1" applyAlignment="1">
      <alignment horizontal="center"/>
    </xf>
    <xf numFmtId="0" fontId="2" fillId="6" borderId="9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</cellXfs>
  <cellStyles count="6">
    <cellStyle name="Millares" xfId="1" builtinId="3"/>
    <cellStyle name="Millares [0] 2" xfId="4" xr:uid="{DF053EFB-4EEE-4063-AE9D-5901B899946F}"/>
    <cellStyle name="Millares 2" xfId="3" xr:uid="{DC3977F5-8F4B-427A-BCD7-C6B8358AC4F8}"/>
    <cellStyle name="Millares 3" xfId="2" xr:uid="{93706AC7-A2BC-4CEE-A212-2D4811D8A5E7}"/>
    <cellStyle name="Moneda [0]" xfId="5" builtinId="7"/>
    <cellStyle name="Normal" xfId="0" builtinId="0"/>
  </cellStyles>
  <dxfs count="0"/>
  <tableStyles count="0" defaultTableStyle="TableStyleMedium2" defaultPivotStyle="PivotStyleLight16"/>
  <colors>
    <mruColors>
      <color rgb="FF273C18"/>
      <color rgb="FF3452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CO" sz="1100" b="1" i="0" baseline="0"/>
              <a:t>Histórico Consumo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INCUBANSSFV_GRAPHICS!$B$6:$B$11</c:f>
              <c:strCache>
                <c:ptCount val="6"/>
                <c:pt idx="0">
                  <c:v>Ene-24</c:v>
                </c:pt>
                <c:pt idx="1">
                  <c:v>feb-24</c:v>
                </c:pt>
                <c:pt idx="2">
                  <c:v>mar-24</c:v>
                </c:pt>
                <c:pt idx="3">
                  <c:v>Abr-24</c:v>
                </c:pt>
                <c:pt idx="4">
                  <c:v>may-24</c:v>
                </c:pt>
                <c:pt idx="5">
                  <c:v>jun-24</c:v>
                </c:pt>
              </c:strCache>
            </c:strRef>
          </c:cat>
          <c:val>
            <c:numRef>
              <c:f>INCUBANSSFV_GRAPHICS!$C$6:$C$11</c:f>
              <c:numCache>
                <c:formatCode>_-* #,##0.0_-;\-* #,##0.0_-;_-* "-"??_-;_-@_-</c:formatCode>
                <c:ptCount val="6"/>
                <c:pt idx="0">
                  <c:v>27376.798999999999</c:v>
                </c:pt>
                <c:pt idx="1">
                  <c:v>25316.398300000001</c:v>
                </c:pt>
                <c:pt idx="2">
                  <c:v>25814.799999999999</c:v>
                </c:pt>
                <c:pt idx="3">
                  <c:v>24772.4997</c:v>
                </c:pt>
                <c:pt idx="4">
                  <c:v>24938.502</c:v>
                </c:pt>
                <c:pt idx="5">
                  <c:v>23939.600900000001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AE-4551-B553-AEAB1C028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200469039"/>
        <c:axId val="1529954735"/>
      </c:barChart>
      <c:catAx>
        <c:axId val="12004690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700" b="1" i="0" cap="none" baseline="0"/>
                  <a:t>Mes</a:t>
                </a:r>
              </a:p>
            </c:rich>
          </c:tx>
          <c:layout>
            <c:manualLayout>
              <c:xMode val="edge"/>
              <c:yMode val="edge"/>
              <c:x val="0.45482726821309505"/>
              <c:y val="0.832755057793039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cap="all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9954735"/>
        <c:crosses val="autoZero"/>
        <c:auto val="1"/>
        <c:lblAlgn val="ctr"/>
        <c:lblOffset val="100"/>
        <c:noMultiLvlLbl val="1"/>
      </c:catAx>
      <c:valAx>
        <c:axId val="1529954735"/>
        <c:scaling>
          <c:orientation val="minMax"/>
        </c:scaling>
        <c:delete val="0"/>
        <c:axPos val="l"/>
        <c:majorGridlines>
          <c:spPr>
            <a:ln w="9525" cap="flat" cmpd="sng" algn="ctr">
              <a:gradFill flip="none" rotWithShape="1"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00000">
                    <a:schemeClr val="bg1">
                      <a:lumMod val="65000"/>
                    </a:schemeClr>
                  </a:gs>
                  <a:gs pos="100000">
                    <a:schemeClr val="bg1">
                      <a:lumMod val="6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path path="circle">
                  <a:fillToRect l="100000" t="100000"/>
                </a:path>
                <a:tileRect r="-100000" b="-10000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1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700" b="1" i="0" cap="none" baseline="0"/>
                  <a:t>Kwh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1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cap="all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200469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alpha val="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100" b="1" i="0" baseline="0"/>
              <a:t>Comparativo Tarifas / Ahorro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4632249478768089"/>
          <c:y val="0.22272262767595968"/>
          <c:w val="0.67021697066267427"/>
          <c:h val="0.485987015221651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INCUBANSSFV_GRAPHICS!$P$16</c:f>
              <c:strCache>
                <c:ptCount val="1"/>
                <c:pt idx="0">
                  <c:v>EPM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INCUBANSSFV_GRAPHICS!$O$17:$O$22</c:f>
              <c:numCache>
                <c:formatCode>mmm\ yyyy</c:formatCode>
                <c:ptCount val="6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</c:numCache>
            </c:numRef>
          </c:cat>
          <c:val>
            <c:numRef>
              <c:f>INCUBANSSFV_GRAPHICS!$P$17:$P$22</c:f>
              <c:numCache>
                <c:formatCode>"$"\ #,##0.00</c:formatCode>
                <c:ptCount val="6"/>
                <c:pt idx="0">
                  <c:v>1009</c:v>
                </c:pt>
                <c:pt idx="1">
                  <c:v>974.72</c:v>
                </c:pt>
                <c:pt idx="2">
                  <c:v>990.84</c:v>
                </c:pt>
                <c:pt idx="3">
                  <c:v>1009.04</c:v>
                </c:pt>
                <c:pt idx="4">
                  <c:v>1062.3599999999999</c:v>
                </c:pt>
                <c:pt idx="5">
                  <c:v>941.82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3A-41F4-89BD-B8AA34C847E2}"/>
            </c:ext>
          </c:extLst>
        </c:ser>
        <c:ser>
          <c:idx val="1"/>
          <c:order val="1"/>
          <c:tx>
            <c:strRef>
              <c:f>INCUBANSSFV_GRAPHICS!$Q$16</c:f>
              <c:strCache>
                <c:ptCount val="1"/>
                <c:pt idx="0">
                  <c:v>CEN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INCUBANSSFV_GRAPHICS!$O$17:$O$22</c:f>
              <c:numCache>
                <c:formatCode>mmm\ yyyy</c:formatCode>
                <c:ptCount val="6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</c:numCache>
            </c:numRef>
          </c:cat>
          <c:val>
            <c:numRef>
              <c:f>INCUBANSSFV_GRAPHICS!$Q$17:$Q$22</c:f>
              <c:numCache>
                <c:formatCode>General</c:formatCode>
                <c:ptCount val="6"/>
                <c:pt idx="0">
                  <c:v>396.81462093414405</c:v>
                </c:pt>
                <c:pt idx="1">
                  <c:v>396.81462093414405</c:v>
                </c:pt>
                <c:pt idx="2">
                  <c:v>396.81462093414405</c:v>
                </c:pt>
                <c:pt idx="3">
                  <c:v>396.81462093414405</c:v>
                </c:pt>
                <c:pt idx="4">
                  <c:v>396.81462093414405</c:v>
                </c:pt>
                <c:pt idx="5">
                  <c:v>396.81462093414405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3A-41F4-89BD-B8AA34C84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0679807"/>
        <c:axId val="2030475407"/>
      </c:barChart>
      <c:lineChart>
        <c:grouping val="standard"/>
        <c:varyColors val="0"/>
        <c:ser>
          <c:idx val="2"/>
          <c:order val="2"/>
          <c:tx>
            <c:strRef>
              <c:f>INCUBANSSFV_GRAPHICS!$R$16</c:f>
              <c:strCache>
                <c:ptCount val="1"/>
                <c:pt idx="0">
                  <c:v>AHORRO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INCUBANSSFV_GRAPHICS!$O$17:$O$22</c:f>
              <c:numCache>
                <c:formatCode>mmm\ yyyy</c:formatCode>
                <c:ptCount val="6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</c:numCache>
            </c:numRef>
          </c:cat>
          <c:val>
            <c:numRef>
              <c:f>INCUBANSSFV_GRAPHICS!$R$17:$R$22</c:f>
              <c:numCache>
                <c:formatCode>"$"\ #,##0.00</c:formatCode>
                <c:ptCount val="6"/>
                <c:pt idx="0">
                  <c:v>16759676.073424745</c:v>
                </c:pt>
                <c:pt idx="1">
                  <c:v>14630482.756143693</c:v>
                </c:pt>
                <c:pt idx="2">
                  <c:v>15334646.355509259</c:v>
                </c:pt>
                <c:pt idx="3">
                  <c:v>15166353.019241301</c:v>
                </c:pt>
                <c:pt idx="4">
                  <c:v>16597704.766924605</c:v>
                </c:pt>
                <c:pt idx="5">
                  <c:v>13047211.263189808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3A-41F4-89BD-B8AA34C84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4643231"/>
        <c:axId val="2030476847"/>
      </c:lineChart>
      <c:dateAx>
        <c:axId val="1306798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700" b="1" i="0" baseline="0"/>
                  <a:t>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mm\ 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30475407"/>
        <c:crosses val="autoZero"/>
        <c:auto val="1"/>
        <c:lblOffset val="100"/>
        <c:baseTimeUnit val="months"/>
      </c:dateAx>
      <c:valAx>
        <c:axId val="203047540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00000">
                    <a:schemeClr val="accent1">
                      <a:lumMod val="42000"/>
                      <a:lumOff val="58000"/>
                    </a:schemeClr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700" b="1" i="0" baseline="0"/>
                  <a:t>Pesos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0679807"/>
        <c:crosses val="autoZero"/>
        <c:crossBetween val="between"/>
      </c:valAx>
      <c:valAx>
        <c:axId val="2030476847"/>
        <c:scaling>
          <c:orientation val="minMax"/>
        </c:scaling>
        <c:delete val="0"/>
        <c:axPos val="r"/>
        <c:numFmt formatCode="&quot;$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24643231"/>
        <c:crosses val="max"/>
        <c:crossBetween val="between"/>
      </c:valAx>
      <c:dateAx>
        <c:axId val="1924643231"/>
        <c:scaling>
          <c:orientation val="minMax"/>
        </c:scaling>
        <c:delete val="1"/>
        <c:axPos val="b"/>
        <c:numFmt formatCode="mmm\ yyyy" sourceLinked="1"/>
        <c:majorTickMark val="out"/>
        <c:minorTickMark val="none"/>
        <c:tickLblPos val="nextTo"/>
        <c:crossAx val="2030476847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bg1">
          <a:alpha val="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14007</xdr:colOff>
      <xdr:row>0</xdr:row>
      <xdr:rowOff>21011</xdr:rowOff>
    </xdr:from>
    <xdr:to>
      <xdr:col>9</xdr:col>
      <xdr:colOff>227240</xdr:colOff>
      <xdr:row>47</xdr:row>
      <xdr:rowOff>161473</xdr:rowOff>
    </xdr:to>
    <xdr:pic>
      <xdr:nvPicPr>
        <xdr:cNvPr id="2" name="bg object 16">
          <a:extLst>
            <a:ext uri="{FF2B5EF4-FFF2-40B4-BE49-F238E27FC236}">
              <a16:creationId xmlns:a16="http://schemas.microsoft.com/office/drawing/2014/main" id="{D1A316C6-7D46-48B2-95B8-44B6D326917D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4007" y="21011"/>
          <a:ext cx="7111854" cy="9028127"/>
        </a:xfrm>
        <a:prstGeom prst="rect">
          <a:avLst/>
        </a:prstGeom>
      </xdr:spPr>
    </xdr:pic>
    <xdr:clientData/>
  </xdr:twoCellAnchor>
  <xdr:twoCellAnchor>
    <xdr:from>
      <xdr:col>0</xdr:col>
      <xdr:colOff>100850</xdr:colOff>
      <xdr:row>7</xdr:row>
      <xdr:rowOff>47003</xdr:rowOff>
    </xdr:from>
    <xdr:to>
      <xdr:col>4</xdr:col>
      <xdr:colOff>285000</xdr:colOff>
      <xdr:row>8</xdr:row>
      <xdr:rowOff>102248</xdr:rowOff>
    </xdr:to>
    <xdr:sp macro="" textlink="">
      <xdr:nvSpPr>
        <xdr:cNvPr id="3" name="object 2">
          <a:extLst>
            <a:ext uri="{FF2B5EF4-FFF2-40B4-BE49-F238E27FC236}">
              <a16:creationId xmlns:a16="http://schemas.microsoft.com/office/drawing/2014/main" id="{B1A79011-9438-48FA-B4D6-15934E8FB243}"/>
            </a:ext>
          </a:extLst>
        </xdr:cNvPr>
        <xdr:cNvSpPr txBox="1"/>
      </xdr:nvSpPr>
      <xdr:spPr>
        <a:xfrm>
          <a:off x="100850" y="1327163"/>
          <a:ext cx="3354070" cy="238125"/>
        </a:xfrm>
        <a:prstGeom prst="rect">
          <a:avLst/>
        </a:prstGeom>
        <a:solidFill>
          <a:srgbClr val="2E463A"/>
        </a:solidFill>
      </xdr:spPr>
      <xdr:txBody>
        <a:bodyPr vert="horz" wrap="square" lIns="0" tIns="4635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898525">
            <a:lnSpc>
              <a:spcPct val="100000"/>
            </a:lnSpc>
            <a:spcBef>
              <a:spcPts val="365"/>
            </a:spcBef>
          </a:pPr>
          <a:r>
            <a:rPr sz="950" b="1" spc="20">
              <a:solidFill>
                <a:srgbClr val="FFFFFF"/>
              </a:solidFill>
              <a:latin typeface="Trebuchet MS"/>
              <a:cs typeface="Trebuchet MS"/>
            </a:rPr>
            <a:t>Resumen</a:t>
          </a:r>
          <a:r>
            <a:rPr sz="950" b="1" spc="-50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950" b="1" spc="15">
              <a:solidFill>
                <a:srgbClr val="FFFFFF"/>
              </a:solidFill>
              <a:latin typeface="Trebuchet MS"/>
              <a:cs typeface="Trebuchet MS"/>
            </a:rPr>
            <a:t>de</a:t>
          </a:r>
          <a:r>
            <a:rPr sz="950" b="1" spc="-35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950" b="1" spc="15">
              <a:solidFill>
                <a:srgbClr val="FFFFFF"/>
              </a:solidFill>
              <a:latin typeface="Trebuchet MS"/>
              <a:cs typeface="Trebuchet MS"/>
            </a:rPr>
            <a:t>Facturación</a:t>
          </a:r>
          <a:endParaRPr sz="95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84227</xdr:colOff>
      <xdr:row>8</xdr:row>
      <xdr:rowOff>132575</xdr:rowOff>
    </xdr:from>
    <xdr:to>
      <xdr:col>2</xdr:col>
      <xdr:colOff>12701</xdr:colOff>
      <xdr:row>9</xdr:row>
      <xdr:rowOff>100195</xdr:rowOff>
    </xdr:to>
    <xdr:sp macro="" textlink="">
      <xdr:nvSpPr>
        <xdr:cNvPr id="4" name="object 3">
          <a:extLst>
            <a:ext uri="{FF2B5EF4-FFF2-40B4-BE49-F238E27FC236}">
              <a16:creationId xmlns:a16="http://schemas.microsoft.com/office/drawing/2014/main" id="{D2196272-8832-436B-827E-398D51393089}"/>
            </a:ext>
          </a:extLst>
        </xdr:cNvPr>
        <xdr:cNvSpPr txBox="1"/>
      </xdr:nvSpPr>
      <xdr:spPr>
        <a:xfrm>
          <a:off x="84227" y="1656575"/>
          <a:ext cx="1452474" cy="158120"/>
        </a:xfrm>
        <a:prstGeom prst="rect">
          <a:avLst/>
        </a:prstGeom>
      </xdr:spPr>
      <xdr:txBody>
        <a:bodyPr vert="horz" wrap="square" lIns="0" tIns="1651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0"/>
            </a:spcBef>
            <a:tabLst>
              <a:tab pos="1559560" algn="l"/>
            </a:tabLst>
          </a:pPr>
          <a:r>
            <a:rPr sz="950" b="1" spc="10">
              <a:solidFill>
                <a:srgbClr val="2E463A"/>
              </a:solidFill>
              <a:latin typeface="Trebuchet MS"/>
              <a:cs typeface="Trebuchet MS"/>
            </a:rPr>
            <a:t>Periodo</a:t>
          </a:r>
          <a:r>
            <a:rPr sz="950" b="1" spc="-1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950" b="1" spc="15">
              <a:solidFill>
                <a:srgbClr val="2E463A"/>
              </a:solidFill>
              <a:latin typeface="Trebuchet MS"/>
              <a:cs typeface="Trebuchet MS"/>
            </a:rPr>
            <a:t>de</a:t>
          </a:r>
          <a:r>
            <a:rPr sz="950" b="1" spc="3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950" b="1" spc="10">
              <a:solidFill>
                <a:srgbClr val="2E463A"/>
              </a:solidFill>
              <a:latin typeface="Trebuchet MS"/>
              <a:cs typeface="Trebuchet MS"/>
            </a:rPr>
            <a:t>Facturación:</a:t>
          </a:r>
          <a:endParaRPr sz="85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411137</xdr:colOff>
      <xdr:row>12</xdr:row>
      <xdr:rowOff>27114</xdr:rowOff>
    </xdr:from>
    <xdr:to>
      <xdr:col>2</xdr:col>
      <xdr:colOff>135547</xdr:colOff>
      <xdr:row>14</xdr:row>
      <xdr:rowOff>130619</xdr:rowOff>
    </xdr:to>
    <xdr:sp macro="" textlink="">
      <xdr:nvSpPr>
        <xdr:cNvPr id="5" name="object 4">
          <a:extLst>
            <a:ext uri="{FF2B5EF4-FFF2-40B4-BE49-F238E27FC236}">
              <a16:creationId xmlns:a16="http://schemas.microsoft.com/office/drawing/2014/main" id="{199502C6-B696-411C-A29F-08FA95171168}"/>
            </a:ext>
          </a:extLst>
        </xdr:cNvPr>
        <xdr:cNvSpPr/>
      </xdr:nvSpPr>
      <xdr:spPr>
        <a:xfrm>
          <a:off x="411137" y="2221674"/>
          <a:ext cx="1309370" cy="469265"/>
        </a:xfrm>
        <a:custGeom>
          <a:avLst/>
          <a:gdLst/>
          <a:ahLst/>
          <a:cxnLst/>
          <a:rect l="l" t="t" r="r" b="b"/>
          <a:pathLst>
            <a:path w="1248410" h="484504">
              <a:moveTo>
                <a:pt x="0" y="484124"/>
              </a:moveTo>
              <a:lnTo>
                <a:pt x="1248371" y="484124"/>
              </a:lnTo>
              <a:lnTo>
                <a:pt x="1248371" y="0"/>
              </a:lnTo>
              <a:lnTo>
                <a:pt x="0" y="0"/>
              </a:lnTo>
              <a:lnTo>
                <a:pt x="0" y="484124"/>
              </a:lnTo>
              <a:close/>
            </a:path>
          </a:pathLst>
        </a:custGeom>
        <a:ln w="11811">
          <a:solidFill>
            <a:srgbClr val="7BAE5F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0</xdr:col>
      <xdr:colOff>417042</xdr:colOff>
      <xdr:row>12</xdr:row>
      <xdr:rowOff>28016</xdr:rowOff>
    </xdr:from>
    <xdr:to>
      <xdr:col>2</xdr:col>
      <xdr:colOff>130022</xdr:colOff>
      <xdr:row>13</xdr:row>
      <xdr:rowOff>44895</xdr:rowOff>
    </xdr:to>
    <xdr:sp macro="" textlink="">
      <xdr:nvSpPr>
        <xdr:cNvPr id="6" name="object 5">
          <a:extLst>
            <a:ext uri="{FF2B5EF4-FFF2-40B4-BE49-F238E27FC236}">
              <a16:creationId xmlns:a16="http://schemas.microsoft.com/office/drawing/2014/main" id="{CA32A73A-62C4-4505-B437-3027968FF7B3}"/>
            </a:ext>
          </a:extLst>
        </xdr:cNvPr>
        <xdr:cNvSpPr txBox="1"/>
      </xdr:nvSpPr>
      <xdr:spPr>
        <a:xfrm>
          <a:off x="417042" y="2297207"/>
          <a:ext cx="1239781" cy="205978"/>
        </a:xfrm>
        <a:prstGeom prst="rect">
          <a:avLst/>
        </a:prstGeom>
        <a:solidFill>
          <a:srgbClr val="7BAE5F"/>
        </a:solidFill>
      </xdr:spPr>
      <xdr:txBody>
        <a:bodyPr vert="horz" wrap="square" lIns="0" tIns="2730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43840">
            <a:lnSpc>
              <a:spcPct val="100000"/>
            </a:lnSpc>
            <a:spcBef>
              <a:spcPts val="215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Consumo</a:t>
          </a:r>
          <a:r>
            <a:rPr sz="800" b="1" spc="-40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Actual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2</xdr:col>
      <xdr:colOff>207822</xdr:colOff>
      <xdr:row>12</xdr:row>
      <xdr:rowOff>27063</xdr:rowOff>
    </xdr:from>
    <xdr:to>
      <xdr:col>3</xdr:col>
      <xdr:colOff>694232</xdr:colOff>
      <xdr:row>14</xdr:row>
      <xdr:rowOff>131203</xdr:rowOff>
    </xdr:to>
    <xdr:sp macro="" textlink="">
      <xdr:nvSpPr>
        <xdr:cNvPr id="7" name="object 6">
          <a:extLst>
            <a:ext uri="{FF2B5EF4-FFF2-40B4-BE49-F238E27FC236}">
              <a16:creationId xmlns:a16="http://schemas.microsoft.com/office/drawing/2014/main" id="{1CBB0EC3-1532-4EFE-A7C6-9CBB8C5E1E0E}"/>
            </a:ext>
          </a:extLst>
        </xdr:cNvPr>
        <xdr:cNvSpPr/>
      </xdr:nvSpPr>
      <xdr:spPr>
        <a:xfrm>
          <a:off x="1731822" y="2313063"/>
          <a:ext cx="1248410" cy="485140"/>
        </a:xfrm>
        <a:custGeom>
          <a:avLst/>
          <a:gdLst/>
          <a:ahLst/>
          <a:cxnLst/>
          <a:rect l="l" t="t" r="r" b="b"/>
          <a:pathLst>
            <a:path w="1248410" h="485139">
              <a:moveTo>
                <a:pt x="0" y="485063"/>
              </a:moveTo>
              <a:lnTo>
                <a:pt x="1248371" y="485063"/>
              </a:lnTo>
              <a:lnTo>
                <a:pt x="1248371" y="0"/>
              </a:lnTo>
              <a:lnTo>
                <a:pt x="0" y="0"/>
              </a:lnTo>
              <a:lnTo>
                <a:pt x="0" y="485063"/>
              </a:lnTo>
              <a:close/>
            </a:path>
          </a:pathLst>
        </a:custGeom>
        <a:ln w="11811">
          <a:solidFill>
            <a:srgbClr val="7BAE5F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2</xdr:col>
      <xdr:colOff>213728</xdr:colOff>
      <xdr:row>12</xdr:row>
      <xdr:rowOff>21011</xdr:rowOff>
    </xdr:from>
    <xdr:to>
      <xdr:col>3</xdr:col>
      <xdr:colOff>688708</xdr:colOff>
      <xdr:row>13</xdr:row>
      <xdr:rowOff>49026</xdr:rowOff>
    </xdr:to>
    <xdr:sp macro="" textlink="">
      <xdr:nvSpPr>
        <xdr:cNvPr id="8" name="object 7">
          <a:extLst>
            <a:ext uri="{FF2B5EF4-FFF2-40B4-BE49-F238E27FC236}">
              <a16:creationId xmlns:a16="http://schemas.microsoft.com/office/drawing/2014/main" id="{C363BC2F-9840-474F-9B70-26253CA2B58E}"/>
            </a:ext>
          </a:extLst>
        </xdr:cNvPr>
        <xdr:cNvSpPr txBox="1"/>
      </xdr:nvSpPr>
      <xdr:spPr>
        <a:xfrm>
          <a:off x="1740529" y="2290202"/>
          <a:ext cx="1238381" cy="217114"/>
        </a:xfrm>
        <a:prstGeom prst="rect">
          <a:avLst/>
        </a:prstGeom>
        <a:solidFill>
          <a:srgbClr val="7BAE5F"/>
        </a:solidFill>
      </xdr:spPr>
      <xdr:txBody>
        <a:bodyPr vert="horz" wrap="square" lIns="0" tIns="28575" rIns="0" bIns="0" rtlCol="0" anchor="t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33350">
            <a:lnSpc>
              <a:spcPct val="100000"/>
            </a:lnSpc>
            <a:spcBef>
              <a:spcPts val="225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Consumo</a:t>
          </a:r>
          <a:r>
            <a:rPr sz="800" b="1" spc="-45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5">
              <a:solidFill>
                <a:srgbClr val="FFFFFF"/>
              </a:solidFill>
              <a:latin typeface="Trebuchet MS"/>
              <a:cs typeface="Trebuchet MS"/>
            </a:rPr>
            <a:t>Acumulado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78048</xdr:colOff>
      <xdr:row>15</xdr:row>
      <xdr:rowOff>99566</xdr:rowOff>
    </xdr:from>
    <xdr:to>
      <xdr:col>4</xdr:col>
      <xdr:colOff>290138</xdr:colOff>
      <xdr:row>23</xdr:row>
      <xdr:rowOff>170051</xdr:rowOff>
    </xdr:to>
    <xdr:sp macro="" textlink="">
      <xdr:nvSpPr>
        <xdr:cNvPr id="10" name="object 20">
          <a:extLst>
            <a:ext uri="{FF2B5EF4-FFF2-40B4-BE49-F238E27FC236}">
              <a16:creationId xmlns:a16="http://schemas.microsoft.com/office/drawing/2014/main" id="{92685718-740B-4200-8F5D-BD51591FB54E}"/>
            </a:ext>
          </a:extLst>
        </xdr:cNvPr>
        <xdr:cNvSpPr/>
      </xdr:nvSpPr>
      <xdr:spPr>
        <a:xfrm>
          <a:off x="78048" y="2957066"/>
          <a:ext cx="3260090" cy="1594485"/>
        </a:xfrm>
        <a:custGeom>
          <a:avLst/>
          <a:gdLst/>
          <a:ahLst/>
          <a:cxnLst/>
          <a:rect l="l" t="t" r="r" b="b"/>
          <a:pathLst>
            <a:path w="3260090" h="1594485">
              <a:moveTo>
                <a:pt x="0" y="1594168"/>
              </a:moveTo>
              <a:lnTo>
                <a:pt x="6127" y="1594168"/>
              </a:lnTo>
            </a:path>
            <a:path w="3260090" h="1594485">
              <a:moveTo>
                <a:pt x="3259665" y="0"/>
              </a:moveTo>
              <a:lnTo>
                <a:pt x="0" y="0"/>
              </a:lnTo>
              <a:lnTo>
                <a:pt x="0" y="1594168"/>
              </a:lnTo>
            </a:path>
          </a:pathLst>
        </a:custGeom>
        <a:ln w="7033">
          <a:solidFill>
            <a:srgbClr val="D9D9D9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0</xdr:col>
      <xdr:colOff>331368</xdr:colOff>
      <xdr:row>24</xdr:row>
      <xdr:rowOff>1019</xdr:rowOff>
    </xdr:from>
    <xdr:to>
      <xdr:col>3</xdr:col>
      <xdr:colOff>297113</xdr:colOff>
      <xdr:row>24</xdr:row>
      <xdr:rowOff>188699</xdr:rowOff>
    </xdr:to>
    <xdr:sp macro="" textlink="">
      <xdr:nvSpPr>
        <xdr:cNvPr id="11" name="object 21">
          <a:extLst>
            <a:ext uri="{FF2B5EF4-FFF2-40B4-BE49-F238E27FC236}">
              <a16:creationId xmlns:a16="http://schemas.microsoft.com/office/drawing/2014/main" id="{3B53C662-BAEE-423C-B1D3-30F51458678D}"/>
            </a:ext>
          </a:extLst>
        </xdr:cNvPr>
        <xdr:cNvSpPr txBox="1"/>
      </xdr:nvSpPr>
      <xdr:spPr>
        <a:xfrm>
          <a:off x="331368" y="4573019"/>
          <a:ext cx="2251745" cy="187680"/>
        </a:xfrm>
        <a:prstGeom prst="rect">
          <a:avLst/>
        </a:prstGeom>
      </xdr:spPr>
      <xdr:txBody>
        <a:bodyPr vert="horz" wrap="square" lIns="0" tIns="679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535"/>
            </a:spcBef>
          </a:pP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Concepto</a:t>
          </a:r>
          <a:r>
            <a:rPr sz="800" b="1" spc="-1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Facturado: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340966</xdr:colOff>
      <xdr:row>25</xdr:row>
      <xdr:rowOff>29705</xdr:rowOff>
    </xdr:from>
    <xdr:to>
      <xdr:col>3</xdr:col>
      <xdr:colOff>256441</xdr:colOff>
      <xdr:row>28</xdr:row>
      <xdr:rowOff>0</xdr:rowOff>
    </xdr:to>
    <xdr:sp macro="" textlink="$O$57">
      <xdr:nvSpPr>
        <xdr:cNvPr id="13" name="object 23">
          <a:extLst>
            <a:ext uri="{FF2B5EF4-FFF2-40B4-BE49-F238E27FC236}">
              <a16:creationId xmlns:a16="http://schemas.microsoft.com/office/drawing/2014/main" id="{DF2E0C45-5822-4B65-A62F-C944F79CD653}"/>
            </a:ext>
          </a:extLst>
        </xdr:cNvPr>
        <xdr:cNvSpPr txBox="1"/>
      </xdr:nvSpPr>
      <xdr:spPr>
        <a:xfrm>
          <a:off x="340966" y="4792205"/>
          <a:ext cx="2201475" cy="541795"/>
        </a:xfrm>
        <a:prstGeom prst="rect">
          <a:avLst/>
        </a:prstGeom>
      </xdr:spPr>
      <xdr:txBody>
        <a:bodyPr vert="horz" wrap="square" lIns="0" tIns="1206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marR="0" lvl="0" indent="0" defTabSz="914400" eaLnBrk="1" fontAlgn="auto" latinLnBrk="0" hangingPunct="1">
            <a:lnSpc>
              <a:spcPct val="100000"/>
            </a:lnSpc>
            <a:spcBef>
              <a:spcPts val="12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63B359D-6805-4E66-BA43-62F8D35D08EC}" type="TxLink">
            <a:rPr kumimoji="0" lang="en-US" sz="750" b="0" i="0" u="none" strike="noStrike" kern="1200" cap="none" spc="0" normalizeH="0" baseline="0" noProof="0">
              <a:ln>
                <a:noFill/>
              </a:ln>
              <a:solidFill>
                <a:srgbClr val="273C18"/>
              </a:solidFill>
              <a:effectLst/>
              <a:uLnTx/>
              <a:uFillTx/>
              <a:latin typeface="Trebuchet MS"/>
              <a:ea typeface="+mn-ea"/>
              <a:cs typeface="Trebuchet MS"/>
            </a:rPr>
            <a:pPr marL="12700" marR="0" lvl="0" indent="0" defTabSz="914400" eaLnBrk="1" fontAlgn="auto" latinLnBrk="0" hangingPunct="1">
              <a:lnSpc>
                <a:spcPct val="100000"/>
              </a:lnSpc>
              <a:spcBef>
                <a:spcPts val="12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Concepto1</a:t>
          </a:fld>
          <a:endParaRPr kumimoji="0" lang="es-CO" sz="75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0</xdr:col>
      <xdr:colOff>330758</xdr:colOff>
      <xdr:row>28</xdr:row>
      <xdr:rowOff>12814</xdr:rowOff>
    </xdr:from>
    <xdr:to>
      <xdr:col>1</xdr:col>
      <xdr:colOff>72948</xdr:colOff>
      <xdr:row>28</xdr:row>
      <xdr:rowOff>166484</xdr:rowOff>
    </xdr:to>
    <xdr:sp macro="" textlink="">
      <xdr:nvSpPr>
        <xdr:cNvPr id="14" name="object 24">
          <a:extLst>
            <a:ext uri="{FF2B5EF4-FFF2-40B4-BE49-F238E27FC236}">
              <a16:creationId xmlns:a16="http://schemas.microsoft.com/office/drawing/2014/main" id="{7F7C454F-1DBC-4B76-8C64-BFBE7114DA88}"/>
            </a:ext>
          </a:extLst>
        </xdr:cNvPr>
        <xdr:cNvSpPr txBox="1"/>
      </xdr:nvSpPr>
      <xdr:spPr>
        <a:xfrm>
          <a:off x="330758" y="5346814"/>
          <a:ext cx="504190" cy="153670"/>
        </a:xfrm>
        <a:prstGeom prst="rect">
          <a:avLst/>
        </a:prstGeom>
      </xdr:spPr>
      <xdr:txBody>
        <a:bodyPr vert="horz" wrap="square" lIns="0" tIns="171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5"/>
            </a:spcBef>
          </a:pP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Cantidad: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1</xdr:col>
      <xdr:colOff>153093</xdr:colOff>
      <xdr:row>28</xdr:row>
      <xdr:rowOff>18442</xdr:rowOff>
    </xdr:from>
    <xdr:to>
      <xdr:col>2</xdr:col>
      <xdr:colOff>406214</xdr:colOff>
      <xdr:row>28</xdr:row>
      <xdr:rowOff>183359</xdr:rowOff>
    </xdr:to>
    <xdr:sp macro="" textlink="">
      <xdr:nvSpPr>
        <xdr:cNvPr id="15" name="object 25">
          <a:extLst>
            <a:ext uri="{FF2B5EF4-FFF2-40B4-BE49-F238E27FC236}">
              <a16:creationId xmlns:a16="http://schemas.microsoft.com/office/drawing/2014/main" id="{8847EC14-3969-4419-8E04-3D70463EDB1E}"/>
            </a:ext>
          </a:extLst>
        </xdr:cNvPr>
        <xdr:cNvSpPr txBox="1"/>
      </xdr:nvSpPr>
      <xdr:spPr>
        <a:xfrm>
          <a:off x="916494" y="5313221"/>
          <a:ext cx="1016521" cy="164917"/>
        </a:xfrm>
        <a:prstGeom prst="rect">
          <a:avLst/>
        </a:prstGeom>
      </xdr:spPr>
      <xdr:txBody>
        <a:bodyPr vert="horz" wrap="square" lIns="0" tIns="158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25"/>
            </a:spcBef>
          </a:pPr>
          <a:r>
            <a:rPr lang="es-ES" sz="1000" b="1" spc="15" baseline="0">
              <a:solidFill>
                <a:srgbClr val="22362C"/>
              </a:solidFill>
              <a:latin typeface="Trebuchet MS"/>
              <a:cs typeface="Trebuchet MS"/>
            </a:rPr>
            <a:t>                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330758</xdr:colOff>
      <xdr:row>28</xdr:row>
      <xdr:rowOff>162264</xdr:rowOff>
    </xdr:from>
    <xdr:to>
      <xdr:col>2</xdr:col>
      <xdr:colOff>11988</xdr:colOff>
      <xdr:row>29</xdr:row>
      <xdr:rowOff>108148</xdr:rowOff>
    </xdr:to>
    <xdr:sp macro="" textlink="">
      <xdr:nvSpPr>
        <xdr:cNvPr id="16" name="object 26">
          <a:extLst>
            <a:ext uri="{FF2B5EF4-FFF2-40B4-BE49-F238E27FC236}">
              <a16:creationId xmlns:a16="http://schemas.microsoft.com/office/drawing/2014/main" id="{018EE82E-5896-450E-BB05-FC43D49F0F85}"/>
            </a:ext>
          </a:extLst>
        </xdr:cNvPr>
        <xdr:cNvSpPr txBox="1"/>
      </xdr:nvSpPr>
      <xdr:spPr>
        <a:xfrm>
          <a:off x="330758" y="5496264"/>
          <a:ext cx="1205230" cy="136384"/>
        </a:xfrm>
        <a:prstGeom prst="rect">
          <a:avLst/>
        </a:prstGeom>
      </xdr:spPr>
      <xdr:txBody>
        <a:bodyPr vert="horz" wrap="square" lIns="0" tIns="171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5"/>
            </a:spcBef>
          </a:pP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Costo</a:t>
          </a:r>
          <a:r>
            <a:rPr sz="8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Unidad: </a:t>
          </a:r>
          <a:r>
            <a:rPr sz="800" b="1" spc="254">
              <a:solidFill>
                <a:srgbClr val="2E463A"/>
              </a:solidFill>
              <a:latin typeface="Trebuchet MS"/>
              <a:cs typeface="Trebuchet MS"/>
            </a:rPr>
            <a:t> </a:t>
          </a:r>
          <a:endParaRPr sz="1050" baseline="3968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35407</xdr:colOff>
      <xdr:row>31</xdr:row>
      <xdr:rowOff>32169</xdr:rowOff>
    </xdr:from>
    <xdr:to>
      <xdr:col>2</xdr:col>
      <xdr:colOff>537692</xdr:colOff>
      <xdr:row>32</xdr:row>
      <xdr:rowOff>45728</xdr:rowOff>
    </xdr:to>
    <xdr:sp macro="" textlink="">
      <xdr:nvSpPr>
        <xdr:cNvPr id="17" name="object 27">
          <a:extLst>
            <a:ext uri="{FF2B5EF4-FFF2-40B4-BE49-F238E27FC236}">
              <a16:creationId xmlns:a16="http://schemas.microsoft.com/office/drawing/2014/main" id="{34DBD857-833C-4A64-AC02-AA07D7D64D9C}"/>
            </a:ext>
          </a:extLst>
        </xdr:cNvPr>
        <xdr:cNvSpPr txBox="1"/>
      </xdr:nvSpPr>
      <xdr:spPr>
        <a:xfrm>
          <a:off x="35407" y="5937669"/>
          <a:ext cx="2026285" cy="204059"/>
        </a:xfrm>
        <a:prstGeom prst="rect">
          <a:avLst/>
        </a:prstGeom>
        <a:ln w="11811">
          <a:solidFill>
            <a:srgbClr val="7BAE5F"/>
          </a:solidFill>
        </a:ln>
      </xdr:spPr>
      <xdr:txBody>
        <a:bodyPr vert="horz" wrap="square" lIns="0" tIns="628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54305">
            <a:lnSpc>
              <a:spcPct val="100000"/>
            </a:lnSpc>
            <a:spcBef>
              <a:spcPts val="495"/>
            </a:spcBef>
            <a:tabLst>
              <a:tab pos="936625" algn="l"/>
            </a:tabLst>
          </a:pPr>
          <a:r>
            <a:rPr sz="900" b="1" spc="10">
              <a:solidFill>
                <a:srgbClr val="2E463A"/>
              </a:solidFill>
              <a:latin typeface="Trebuchet MS"/>
              <a:cs typeface="Trebuchet MS"/>
            </a:rPr>
            <a:t>Valor</a:t>
          </a:r>
          <a:r>
            <a:rPr sz="900" b="1" spc="3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900" b="1" kern="1200" spc="5">
              <a:solidFill>
                <a:srgbClr val="2E463A"/>
              </a:solidFill>
              <a:latin typeface="Trebuchet MS"/>
              <a:ea typeface="+mn-ea"/>
              <a:cs typeface="Trebuchet MS"/>
            </a:rPr>
            <a:t>Total</a:t>
          </a:r>
          <a:r>
            <a:rPr sz="900" b="1" kern="1200" spc="35">
              <a:solidFill>
                <a:srgbClr val="2E463A"/>
              </a:solidFill>
              <a:latin typeface="Trebuchet MS"/>
              <a:ea typeface="+mn-ea"/>
              <a:cs typeface="Trebuchet MS"/>
            </a:rPr>
            <a:t>:</a:t>
          </a:r>
        </a:p>
      </xdr:txBody>
    </xdr:sp>
    <xdr:clientData/>
  </xdr:twoCellAnchor>
  <xdr:twoCellAnchor>
    <xdr:from>
      <xdr:col>3</xdr:col>
      <xdr:colOff>42341</xdr:colOff>
      <xdr:row>30</xdr:row>
      <xdr:rowOff>141897</xdr:rowOff>
    </xdr:from>
    <xdr:to>
      <xdr:col>4</xdr:col>
      <xdr:colOff>385241</xdr:colOff>
      <xdr:row>32</xdr:row>
      <xdr:rowOff>81924</xdr:rowOff>
    </xdr:to>
    <xdr:sp macro="" textlink="">
      <xdr:nvSpPr>
        <xdr:cNvPr id="18" name="object 28">
          <a:extLst>
            <a:ext uri="{FF2B5EF4-FFF2-40B4-BE49-F238E27FC236}">
              <a16:creationId xmlns:a16="http://schemas.microsoft.com/office/drawing/2014/main" id="{74B4BAC5-9D4B-4670-9A16-6F59F476E14C}"/>
            </a:ext>
          </a:extLst>
        </xdr:cNvPr>
        <xdr:cNvSpPr txBox="1"/>
      </xdr:nvSpPr>
      <xdr:spPr>
        <a:xfrm>
          <a:off x="2328341" y="5856897"/>
          <a:ext cx="1104900" cy="321027"/>
        </a:xfrm>
        <a:prstGeom prst="rect">
          <a:avLst/>
        </a:prstGeom>
        <a:solidFill>
          <a:srgbClr val="7BAE5F"/>
        </a:solidFill>
      </xdr:spPr>
      <xdr:txBody>
        <a:bodyPr vert="horz" wrap="square" lIns="0" tIns="40640" rIns="0" bIns="0" rtlCol="0" anchor="t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10185">
            <a:lnSpc>
              <a:spcPct val="100000"/>
            </a:lnSpc>
            <a:spcBef>
              <a:spcPts val="320"/>
            </a:spcBef>
          </a:pPr>
          <a:r>
            <a:rPr sz="800" b="1" spc="15">
              <a:solidFill>
                <a:srgbClr val="FFFFFF"/>
              </a:solidFill>
              <a:latin typeface="Trebuchet MS"/>
              <a:cs typeface="Trebuchet MS"/>
            </a:rPr>
            <a:t>Pagar</a:t>
          </a:r>
          <a:r>
            <a:rPr sz="800" b="1" spc="-30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15">
              <a:solidFill>
                <a:srgbClr val="FFFFFF"/>
              </a:solidFill>
              <a:latin typeface="Trebuchet MS"/>
              <a:cs typeface="Trebuchet MS"/>
            </a:rPr>
            <a:t>hasta</a:t>
          </a:r>
          <a:r>
            <a:rPr sz="800" b="1" spc="-25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10">
              <a:solidFill>
                <a:srgbClr val="FFFFFF"/>
              </a:solidFill>
              <a:latin typeface="Trebuchet MS"/>
              <a:cs typeface="Trebuchet MS"/>
            </a:rPr>
            <a:t>el</a:t>
          </a:r>
        </a:p>
        <a:p>
          <a:pPr marL="207010">
            <a:lnSpc>
              <a:spcPct val="100000"/>
            </a:lnSpc>
            <a:spcBef>
              <a:spcPts val="45"/>
            </a:spcBef>
          </a:pPr>
          <a:endParaRPr sz="1000">
            <a:solidFill>
              <a:schemeClr val="bg1"/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2</xdr:col>
      <xdr:colOff>510591</xdr:colOff>
      <xdr:row>39</xdr:row>
      <xdr:rowOff>157594</xdr:rowOff>
    </xdr:from>
    <xdr:to>
      <xdr:col>4</xdr:col>
      <xdr:colOff>273736</xdr:colOff>
      <xdr:row>40</xdr:row>
      <xdr:rowOff>90919</xdr:rowOff>
    </xdr:to>
    <xdr:sp macro="" textlink="">
      <xdr:nvSpPr>
        <xdr:cNvPr id="19" name="object 29">
          <a:extLst>
            <a:ext uri="{FF2B5EF4-FFF2-40B4-BE49-F238E27FC236}">
              <a16:creationId xmlns:a16="http://schemas.microsoft.com/office/drawing/2014/main" id="{70923802-33ED-4B0C-B957-4582C2E77ED8}"/>
            </a:ext>
          </a:extLst>
        </xdr:cNvPr>
        <xdr:cNvSpPr txBox="1"/>
      </xdr:nvSpPr>
      <xdr:spPr>
        <a:xfrm>
          <a:off x="2095551" y="7289914"/>
          <a:ext cx="1348105" cy="116205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95"/>
            </a:spcBef>
          </a:pPr>
          <a:r>
            <a:rPr sz="650" b="1" spc="-5">
              <a:solidFill>
                <a:srgbClr val="7BAE5F"/>
              </a:solidFill>
              <a:latin typeface="Trebuchet MS"/>
              <a:cs typeface="Trebuchet MS"/>
            </a:rPr>
            <a:t>CAROLINA</a:t>
          </a:r>
          <a:r>
            <a:rPr sz="650" b="1" spc="10">
              <a:solidFill>
                <a:srgbClr val="7BAE5F"/>
              </a:solidFill>
              <a:latin typeface="Trebuchet MS"/>
              <a:cs typeface="Trebuchet MS"/>
            </a:rPr>
            <a:t> </a:t>
          </a:r>
          <a:r>
            <a:rPr sz="650" b="1" spc="-10">
              <a:solidFill>
                <a:srgbClr val="7BAE5F"/>
              </a:solidFill>
              <a:latin typeface="Trebuchet MS"/>
              <a:cs typeface="Trebuchet MS"/>
            </a:rPr>
            <a:t>ANDREA</a:t>
          </a:r>
          <a:r>
            <a:rPr sz="650" b="1" spc="10">
              <a:solidFill>
                <a:srgbClr val="7BAE5F"/>
              </a:solidFill>
              <a:latin typeface="Trebuchet MS"/>
              <a:cs typeface="Trebuchet MS"/>
            </a:rPr>
            <a:t> </a:t>
          </a:r>
          <a:r>
            <a:rPr sz="650" b="1" spc="-10">
              <a:solidFill>
                <a:srgbClr val="7BAE5F"/>
              </a:solidFill>
              <a:latin typeface="Trebuchet MS"/>
              <a:cs typeface="Trebuchet MS"/>
            </a:rPr>
            <a:t>MEJÍA</a:t>
          </a:r>
          <a:r>
            <a:rPr sz="650" b="1" spc="-5">
              <a:solidFill>
                <a:srgbClr val="7BAE5F"/>
              </a:solidFill>
              <a:latin typeface="Trebuchet MS"/>
              <a:cs typeface="Trebuchet MS"/>
            </a:rPr>
            <a:t> </a:t>
          </a:r>
          <a:r>
            <a:rPr sz="650" b="1" spc="-10">
              <a:solidFill>
                <a:srgbClr val="7BAE5F"/>
              </a:solidFill>
              <a:latin typeface="Trebuchet MS"/>
              <a:cs typeface="Trebuchet MS"/>
            </a:rPr>
            <a:t>MATOS</a:t>
          </a:r>
          <a:endParaRPr sz="650">
            <a:latin typeface="Trebuchet MS"/>
            <a:cs typeface="Trebuchet MS"/>
          </a:endParaRPr>
        </a:p>
      </xdr:txBody>
    </xdr:sp>
    <xdr:clientData/>
  </xdr:twoCellAnchor>
  <xdr:twoCellAnchor>
    <xdr:from>
      <xdr:col>2</xdr:col>
      <xdr:colOff>516432</xdr:colOff>
      <xdr:row>40</xdr:row>
      <xdr:rowOff>67043</xdr:rowOff>
    </xdr:from>
    <xdr:to>
      <xdr:col>3</xdr:col>
      <xdr:colOff>571676</xdr:colOff>
      <xdr:row>41</xdr:row>
      <xdr:rowOff>368</xdr:rowOff>
    </xdr:to>
    <xdr:sp macro="" textlink="">
      <xdr:nvSpPr>
        <xdr:cNvPr id="20" name="object 30">
          <a:extLst>
            <a:ext uri="{FF2B5EF4-FFF2-40B4-BE49-F238E27FC236}">
              <a16:creationId xmlns:a16="http://schemas.microsoft.com/office/drawing/2014/main" id="{446FC0AE-975C-47DC-BCF7-0F89CD1681E9}"/>
            </a:ext>
          </a:extLst>
        </xdr:cNvPr>
        <xdr:cNvSpPr txBox="1"/>
      </xdr:nvSpPr>
      <xdr:spPr>
        <a:xfrm>
          <a:off x="2101392" y="7382243"/>
          <a:ext cx="847724" cy="116205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95"/>
            </a:spcBef>
          </a:pPr>
          <a:r>
            <a:rPr sz="650" b="1" spc="-10">
              <a:solidFill>
                <a:srgbClr val="2E463A"/>
              </a:solidFill>
              <a:latin typeface="Trebuchet MS"/>
              <a:cs typeface="Trebuchet MS"/>
            </a:rPr>
            <a:t>Representante</a:t>
          </a:r>
          <a:r>
            <a:rPr sz="650" b="1" spc="2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650" b="1" spc="-10">
              <a:solidFill>
                <a:srgbClr val="2E463A"/>
              </a:solidFill>
              <a:latin typeface="Trebuchet MS"/>
              <a:cs typeface="Trebuchet MS"/>
            </a:rPr>
            <a:t>Legal</a:t>
          </a:r>
          <a:endParaRPr sz="65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43078</xdr:colOff>
      <xdr:row>45</xdr:row>
      <xdr:rowOff>139827</xdr:rowOff>
    </xdr:from>
    <xdr:to>
      <xdr:col>4</xdr:col>
      <xdr:colOff>332003</xdr:colOff>
      <xdr:row>46</xdr:row>
      <xdr:rowOff>95042</xdr:rowOff>
    </xdr:to>
    <xdr:sp macro="" textlink="">
      <xdr:nvSpPr>
        <xdr:cNvPr id="21" name="object 31">
          <a:extLst>
            <a:ext uri="{FF2B5EF4-FFF2-40B4-BE49-F238E27FC236}">
              <a16:creationId xmlns:a16="http://schemas.microsoft.com/office/drawing/2014/main" id="{E2E4C6D1-EABE-4700-84B1-7E6E4E98EE80}"/>
            </a:ext>
          </a:extLst>
        </xdr:cNvPr>
        <xdr:cNvSpPr txBox="1"/>
      </xdr:nvSpPr>
      <xdr:spPr>
        <a:xfrm>
          <a:off x="43078" y="8416724"/>
          <a:ext cx="3463049" cy="139146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95"/>
            </a:spcBef>
          </a:pP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De conformidad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con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el Decreto</a:t>
          </a:r>
          <a:r>
            <a:rPr sz="750" b="1" spc="-3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2150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1995,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la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firma</a:t>
          </a:r>
          <a:r>
            <a:rPr sz="75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mecánica</a:t>
          </a:r>
          <a:r>
            <a:rPr sz="75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que</a:t>
          </a:r>
          <a:r>
            <a:rPr sz="75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aparece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en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este</a:t>
          </a:r>
          <a:endParaRPr sz="750"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495097</xdr:colOff>
      <xdr:row>46</xdr:row>
      <xdr:rowOff>72080</xdr:rowOff>
    </xdr:from>
    <xdr:to>
      <xdr:col>3</xdr:col>
      <xdr:colOff>652577</xdr:colOff>
      <xdr:row>47</xdr:row>
      <xdr:rowOff>21834</xdr:rowOff>
    </xdr:to>
    <xdr:sp macro="" textlink="">
      <xdr:nvSpPr>
        <xdr:cNvPr id="22" name="object 32">
          <a:extLst>
            <a:ext uri="{FF2B5EF4-FFF2-40B4-BE49-F238E27FC236}">
              <a16:creationId xmlns:a16="http://schemas.microsoft.com/office/drawing/2014/main" id="{387E5920-D63C-49CC-AF74-76EC680F5B15}"/>
            </a:ext>
          </a:extLst>
        </xdr:cNvPr>
        <xdr:cNvSpPr txBox="1"/>
      </xdr:nvSpPr>
      <xdr:spPr>
        <a:xfrm>
          <a:off x="495097" y="8532908"/>
          <a:ext cx="2538073" cy="133685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95"/>
            </a:spcBef>
          </a:pP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documento</a:t>
          </a:r>
          <a:r>
            <a:rPr sz="75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tiene plena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validez para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todos</a:t>
          </a:r>
          <a:r>
            <a:rPr sz="7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los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efectos</a:t>
          </a:r>
          <a:r>
            <a:rPr sz="75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legales.</a:t>
          </a:r>
          <a:endParaRPr sz="750"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18923</xdr:colOff>
      <xdr:row>34</xdr:row>
      <xdr:rowOff>24409</xdr:rowOff>
    </xdr:from>
    <xdr:to>
      <xdr:col>4</xdr:col>
      <xdr:colOff>370713</xdr:colOff>
      <xdr:row>37</xdr:row>
      <xdr:rowOff>143789</xdr:rowOff>
    </xdr:to>
    <xdr:sp macro="" textlink="">
      <xdr:nvSpPr>
        <xdr:cNvPr id="23" name="object 33">
          <a:extLst>
            <a:ext uri="{FF2B5EF4-FFF2-40B4-BE49-F238E27FC236}">
              <a16:creationId xmlns:a16="http://schemas.microsoft.com/office/drawing/2014/main" id="{AD4BB5AE-9D7C-4B12-A6F4-4DA371E73425}"/>
            </a:ext>
          </a:extLst>
        </xdr:cNvPr>
        <xdr:cNvSpPr txBox="1"/>
      </xdr:nvSpPr>
      <xdr:spPr>
        <a:xfrm>
          <a:off x="18923" y="6242329"/>
          <a:ext cx="3521710" cy="668020"/>
        </a:xfrm>
        <a:prstGeom prst="rect">
          <a:avLst/>
        </a:prstGeom>
        <a:ln w="11810">
          <a:solidFill>
            <a:srgbClr val="7BAE5F"/>
          </a:solidFill>
        </a:ln>
      </xdr:spPr>
      <xdr:txBody>
        <a:bodyPr vert="horz" wrap="square" lIns="0" tIns="3429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07314" marR="95885" indent="-3175" algn="ctr">
            <a:lnSpc>
              <a:spcPct val="105000"/>
            </a:lnSpc>
            <a:spcBef>
              <a:spcPts val="270"/>
            </a:spcBef>
          </a:pP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presente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factura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 presta</a:t>
          </a:r>
          <a:r>
            <a:rPr sz="9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mérito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ejecutivo</a:t>
          </a:r>
          <a:r>
            <a:rPr sz="900" b="1" spc="4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en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virtud</a:t>
          </a:r>
          <a:r>
            <a:rPr sz="9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del artículo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130</a:t>
          </a:r>
          <a:r>
            <a:rPr sz="9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 Ley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142</a:t>
          </a:r>
          <a:r>
            <a:rPr sz="9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1994,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modificado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por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 artículo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18</a:t>
          </a:r>
          <a:r>
            <a:rPr sz="900" b="1" spc="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9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Ley </a:t>
          </a:r>
          <a:r>
            <a:rPr sz="900" b="1" spc="-19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689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2001. 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Sí el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pago es realizado en cheque, éste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debe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ser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girado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a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favor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CEN S.A.S.</a:t>
          </a:r>
          <a:endParaRPr sz="900"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562406</xdr:colOff>
      <xdr:row>31</xdr:row>
      <xdr:rowOff>138379</xdr:rowOff>
    </xdr:from>
    <xdr:to>
      <xdr:col>9</xdr:col>
      <xdr:colOff>29006</xdr:colOff>
      <xdr:row>35</xdr:row>
      <xdr:rowOff>82499</xdr:rowOff>
    </xdr:to>
    <xdr:sp macro="" textlink="">
      <xdr:nvSpPr>
        <xdr:cNvPr id="24" name="object 34">
          <a:extLst>
            <a:ext uri="{FF2B5EF4-FFF2-40B4-BE49-F238E27FC236}">
              <a16:creationId xmlns:a16="http://schemas.microsoft.com/office/drawing/2014/main" id="{F8927079-63B5-47D9-9E95-F8511D60A300}"/>
            </a:ext>
          </a:extLst>
        </xdr:cNvPr>
        <xdr:cNvSpPr txBox="1"/>
      </xdr:nvSpPr>
      <xdr:spPr>
        <a:xfrm>
          <a:off x="3732326" y="5807659"/>
          <a:ext cx="3451860" cy="675640"/>
        </a:xfrm>
        <a:prstGeom prst="rect">
          <a:avLst/>
        </a:prstGeom>
        <a:ln w="11811">
          <a:solidFill>
            <a:srgbClr val="7BAE5F"/>
          </a:solidFill>
        </a:ln>
      </xdr:spPr>
      <xdr:txBody>
        <a:bodyPr vert="horz" wrap="square" lIns="0" tIns="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</a:pPr>
          <a:endParaRPr sz="650">
            <a:latin typeface="Times New Roman"/>
            <a:cs typeface="Times New Roman"/>
          </a:endParaRPr>
        </a:p>
        <a:p>
          <a:pPr marL="152400">
            <a:lnSpc>
              <a:spcPct val="100000"/>
            </a:lnSpc>
          </a:pP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INSTRUCCIONES</a:t>
          </a:r>
          <a:r>
            <a:rPr sz="700" b="1" spc="-3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PARA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PAGO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:</a:t>
          </a:r>
          <a:endParaRPr sz="750">
            <a:latin typeface="Calibri"/>
            <a:cs typeface="Calibri"/>
          </a:endParaRPr>
        </a:p>
        <a:p>
          <a:pPr marL="152400" marR="59690">
            <a:lnSpc>
              <a:spcPct val="101200"/>
            </a:lnSpc>
            <a:spcBef>
              <a:spcPts val="465"/>
            </a:spcBef>
            <a:buChar char="-"/>
            <a:tabLst>
              <a:tab pos="199390" algn="l"/>
            </a:tabLst>
          </a:pPr>
          <a:r>
            <a:rPr sz="700" b="1">
              <a:solidFill>
                <a:srgbClr val="2E463A"/>
              </a:solidFill>
              <a:latin typeface="Calibri"/>
              <a:cs typeface="Calibri"/>
            </a:rPr>
            <a:t>Pagos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con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cheque</a:t>
          </a:r>
          <a:r>
            <a:rPr sz="7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/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 Girar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cheque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a nombre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7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P.A.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FTP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CEN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ENERGY</a:t>
          </a:r>
          <a:r>
            <a:rPr sz="700" b="1" spc="13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S.A.S.</a:t>
          </a:r>
          <a:r>
            <a:rPr sz="700" b="1" spc="14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con </a:t>
          </a:r>
          <a:r>
            <a:rPr sz="700" b="1" spc="-14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instrucción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pagar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al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primer</a:t>
          </a:r>
          <a:r>
            <a:rPr sz="7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beneficiario.</a:t>
          </a:r>
          <a:endParaRPr sz="700">
            <a:latin typeface="Calibri"/>
            <a:cs typeface="Calibri"/>
          </a:endParaRPr>
        </a:p>
        <a:p>
          <a:pPr marL="198755" indent="-46990">
            <a:lnSpc>
              <a:spcPct val="100000"/>
            </a:lnSpc>
            <a:spcBef>
              <a:spcPts val="10"/>
            </a:spcBef>
            <a:buChar char="-"/>
            <a:tabLst>
              <a:tab pos="199390" algn="l"/>
            </a:tabLst>
          </a:pPr>
          <a:r>
            <a:rPr sz="700" b="1">
              <a:solidFill>
                <a:srgbClr val="2E463A"/>
              </a:solidFill>
              <a:latin typeface="Calibri"/>
              <a:cs typeface="Calibri"/>
            </a:rPr>
            <a:t>Pago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por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transferencia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/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Bancolombia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Cta.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7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Corriente</a:t>
          </a:r>
          <a:r>
            <a:rPr sz="7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No. 245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124422</a:t>
          </a:r>
          <a:r>
            <a:rPr sz="7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51</a:t>
          </a:r>
          <a:endParaRPr sz="700"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568884</xdr:colOff>
      <xdr:row>35</xdr:row>
      <xdr:rowOff>145326</xdr:rowOff>
    </xdr:from>
    <xdr:to>
      <xdr:col>9</xdr:col>
      <xdr:colOff>36754</xdr:colOff>
      <xdr:row>40</xdr:row>
      <xdr:rowOff>75476</xdr:rowOff>
    </xdr:to>
    <xdr:sp macro="" textlink="">
      <xdr:nvSpPr>
        <xdr:cNvPr id="25" name="object 35">
          <a:extLst>
            <a:ext uri="{FF2B5EF4-FFF2-40B4-BE49-F238E27FC236}">
              <a16:creationId xmlns:a16="http://schemas.microsoft.com/office/drawing/2014/main" id="{A2A41CBB-4FA3-4298-9B0E-DB15236599E2}"/>
            </a:ext>
          </a:extLst>
        </xdr:cNvPr>
        <xdr:cNvSpPr txBox="1"/>
      </xdr:nvSpPr>
      <xdr:spPr>
        <a:xfrm>
          <a:off x="3738804" y="6546126"/>
          <a:ext cx="3453130" cy="844550"/>
        </a:xfrm>
        <a:prstGeom prst="rect">
          <a:avLst/>
        </a:prstGeom>
        <a:ln w="11811">
          <a:solidFill>
            <a:srgbClr val="7BAE5F"/>
          </a:solidFill>
        </a:ln>
      </xdr:spPr>
      <xdr:txBody>
        <a:bodyPr vert="horz" wrap="square" lIns="0" tIns="31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25"/>
            </a:spcBef>
          </a:pPr>
          <a:endParaRPr sz="700">
            <a:latin typeface="Times New Roman"/>
            <a:cs typeface="Times New Roman"/>
          </a:endParaRPr>
        </a:p>
        <a:p>
          <a:pPr marL="102235" marR="113030">
            <a:lnSpc>
              <a:spcPct val="103600"/>
            </a:lnSpc>
          </a:pPr>
          <a:r>
            <a:rPr sz="500" b="1">
              <a:solidFill>
                <a:srgbClr val="2E463A"/>
              </a:solidFill>
              <a:latin typeface="Calibri"/>
              <a:cs typeface="Calibri"/>
            </a:rPr>
            <a:t>En cumplimiento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la ley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1231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2008,</a:t>
          </a:r>
          <a:r>
            <a:rPr sz="5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modificada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por</a:t>
          </a:r>
          <a:r>
            <a:rPr sz="5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Ley 1676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2013,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Empresa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dará por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aceptada 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irrevocablemente la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factura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los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tres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(3)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días hábiles siguientes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su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recepción,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de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contrario,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rechazo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informará</a:t>
          </a:r>
          <a:r>
            <a:rPr sz="5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través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mecanismo</a:t>
          </a:r>
          <a:r>
            <a:rPr sz="500" b="1" spc="3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electrónico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apropiado.</a:t>
          </a:r>
          <a:r>
            <a:rPr sz="5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500" b="1" spc="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pago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factura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realizará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al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tenedor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legítimo</a:t>
          </a:r>
          <a:r>
            <a:rPr sz="500" b="1" spc="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 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esta, en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fecha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vencimiento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por</a:t>
          </a:r>
          <a:r>
            <a:rPr sz="5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valor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neto que</a:t>
          </a:r>
          <a:r>
            <a:rPr sz="5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resulte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los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descuentos</a:t>
          </a:r>
          <a:r>
            <a:rPr sz="5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por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ley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y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contractuales.</a:t>
          </a:r>
          <a:endParaRPr sz="500">
            <a:latin typeface="Calibri"/>
            <a:cs typeface="Calibri"/>
          </a:endParaRPr>
        </a:p>
        <a:p>
          <a:pPr marL="102235" marR="142240">
            <a:lnSpc>
              <a:spcPct val="104000"/>
            </a:lnSpc>
            <a:spcBef>
              <a:spcPts val="350"/>
            </a:spcBef>
          </a:pPr>
          <a:r>
            <a:rPr sz="500" b="1">
              <a:solidFill>
                <a:srgbClr val="2E463A"/>
              </a:solidFill>
              <a:latin typeface="Calibri"/>
              <a:cs typeface="Calibri"/>
            </a:rPr>
            <a:t>Esta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factura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asemeja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a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una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letra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de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cambio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según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artículos 621,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773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y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774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Código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Comercio.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Su pago 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posterior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a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fecha límite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estipulada generará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interés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según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artículo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884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Código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Comercio.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Este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título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valor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es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exigible ejecutivamente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acuerdo</a:t>
          </a:r>
          <a:r>
            <a:rPr sz="5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con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 artículo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488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 Código</a:t>
          </a:r>
          <a:r>
            <a:rPr sz="5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Procedimiento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Civil.</a:t>
          </a:r>
          <a:endParaRPr sz="500">
            <a:latin typeface="Calibri"/>
            <a:cs typeface="Calibri"/>
          </a:endParaRPr>
        </a:p>
      </xdr:txBody>
    </xdr:sp>
    <xdr:clientData/>
  </xdr:twoCellAnchor>
  <xdr:twoCellAnchor>
    <xdr:from>
      <xdr:col>2</xdr:col>
      <xdr:colOff>599363</xdr:colOff>
      <xdr:row>0</xdr:row>
      <xdr:rowOff>6032</xdr:rowOff>
    </xdr:from>
    <xdr:to>
      <xdr:col>9</xdr:col>
      <xdr:colOff>29133</xdr:colOff>
      <xdr:row>40</xdr:row>
      <xdr:rowOff>62800</xdr:rowOff>
    </xdr:to>
    <xdr:grpSp>
      <xdr:nvGrpSpPr>
        <xdr:cNvPr id="26" name="object 36">
          <a:extLst>
            <a:ext uri="{FF2B5EF4-FFF2-40B4-BE49-F238E27FC236}">
              <a16:creationId xmlns:a16="http://schemas.microsoft.com/office/drawing/2014/main" id="{3BC71316-2C20-4ADF-850A-D7E0FD802C04}"/>
            </a:ext>
          </a:extLst>
        </xdr:cNvPr>
        <xdr:cNvGrpSpPr/>
      </xdr:nvGrpSpPr>
      <xdr:grpSpPr>
        <a:xfrm>
          <a:off x="2126164" y="6032"/>
          <a:ext cx="4801590" cy="7620739"/>
          <a:chOff x="2414142" y="893444"/>
          <a:chExt cx="4763770" cy="7676768"/>
        </a:xfrm>
      </xdr:grpSpPr>
      <xdr:sp macro="" textlink="">
        <xdr:nvSpPr>
          <xdr:cNvPr id="27" name="object 37">
            <a:extLst>
              <a:ext uri="{FF2B5EF4-FFF2-40B4-BE49-F238E27FC236}">
                <a16:creationId xmlns:a16="http://schemas.microsoft.com/office/drawing/2014/main" id="{F74CC98B-7EDF-36A8-5357-7B709A0A7E03}"/>
              </a:ext>
            </a:extLst>
          </xdr:cNvPr>
          <xdr:cNvSpPr/>
        </xdr:nvSpPr>
        <xdr:spPr>
          <a:xfrm>
            <a:off x="3901312" y="893444"/>
            <a:ext cx="3276600" cy="5963285"/>
          </a:xfrm>
          <a:custGeom>
            <a:avLst/>
            <a:gdLst/>
            <a:ahLst/>
            <a:cxnLst/>
            <a:rect l="l" t="t" r="r" b="b"/>
            <a:pathLst>
              <a:path w="3276600" h="5963284">
                <a:moveTo>
                  <a:pt x="0" y="5962776"/>
                </a:moveTo>
                <a:lnTo>
                  <a:pt x="3276473" y="5962776"/>
                </a:lnTo>
                <a:lnTo>
                  <a:pt x="3276473" y="0"/>
                </a:lnTo>
                <a:lnTo>
                  <a:pt x="0" y="0"/>
                </a:lnTo>
                <a:lnTo>
                  <a:pt x="0" y="5962776"/>
                </a:lnTo>
                <a:close/>
              </a:path>
            </a:pathLst>
          </a:custGeom>
          <a:ln w="11811">
            <a:solidFill>
              <a:srgbClr val="7BAE5F"/>
            </a:solidFill>
          </a:ln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  <xdr:pic>
        <xdr:nvPicPr>
          <xdr:cNvPr id="28" name="object 38">
            <a:extLst>
              <a:ext uri="{FF2B5EF4-FFF2-40B4-BE49-F238E27FC236}">
                <a16:creationId xmlns:a16="http://schemas.microsoft.com/office/drawing/2014/main" id="{A7DA732D-1B89-74C2-EFCA-DF43D24CDD76}"/>
              </a:ext>
            </a:extLst>
          </xdr:cNvPr>
          <xdr:cNvPicPr/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2414142" y="8132266"/>
            <a:ext cx="1136319" cy="437946"/>
          </a:xfrm>
          <a:prstGeom prst="rect">
            <a:avLst/>
          </a:prstGeom>
        </xdr:spPr>
      </xdr:pic>
      <xdr:sp macro="" textlink="">
        <xdr:nvSpPr>
          <xdr:cNvPr id="29" name="object 39">
            <a:extLst>
              <a:ext uri="{FF2B5EF4-FFF2-40B4-BE49-F238E27FC236}">
                <a16:creationId xmlns:a16="http://schemas.microsoft.com/office/drawing/2014/main" id="{E5F03085-00C0-9E45-CB90-760B0ACABB0F}"/>
              </a:ext>
            </a:extLst>
          </xdr:cNvPr>
          <xdr:cNvSpPr/>
        </xdr:nvSpPr>
        <xdr:spPr>
          <a:xfrm>
            <a:off x="4235703" y="2206015"/>
            <a:ext cx="1250950" cy="484505"/>
          </a:xfrm>
          <a:custGeom>
            <a:avLst/>
            <a:gdLst/>
            <a:ahLst/>
            <a:cxnLst/>
            <a:rect l="l" t="t" r="r" b="b"/>
            <a:pathLst>
              <a:path w="1250950" h="484505">
                <a:moveTo>
                  <a:pt x="0" y="484479"/>
                </a:moveTo>
                <a:lnTo>
                  <a:pt x="1250416" y="484479"/>
                </a:lnTo>
                <a:lnTo>
                  <a:pt x="1250416" y="0"/>
                </a:lnTo>
                <a:lnTo>
                  <a:pt x="0" y="0"/>
                </a:lnTo>
                <a:lnTo>
                  <a:pt x="0" y="484479"/>
                </a:lnTo>
                <a:close/>
              </a:path>
            </a:pathLst>
          </a:custGeom>
          <a:ln w="11811">
            <a:solidFill>
              <a:srgbClr val="7BAE5F"/>
            </a:solidFill>
          </a:ln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  <xdr:sp macro="" textlink="">
        <xdr:nvSpPr>
          <xdr:cNvPr id="30" name="object 40">
            <a:extLst>
              <a:ext uri="{FF2B5EF4-FFF2-40B4-BE49-F238E27FC236}">
                <a16:creationId xmlns:a16="http://schemas.microsoft.com/office/drawing/2014/main" id="{6ACE15C3-34AE-4607-5B23-0B5F4513F9F9}"/>
              </a:ext>
            </a:extLst>
          </xdr:cNvPr>
          <xdr:cNvSpPr/>
        </xdr:nvSpPr>
        <xdr:spPr>
          <a:xfrm>
            <a:off x="4230877" y="2200554"/>
            <a:ext cx="1261745" cy="194310"/>
          </a:xfrm>
          <a:custGeom>
            <a:avLst/>
            <a:gdLst/>
            <a:ahLst/>
            <a:cxnLst/>
            <a:rect l="l" t="t" r="r" b="b"/>
            <a:pathLst>
              <a:path w="1261745" h="194310">
                <a:moveTo>
                  <a:pt x="1261249" y="0"/>
                </a:moveTo>
                <a:lnTo>
                  <a:pt x="0" y="0"/>
                </a:lnTo>
                <a:lnTo>
                  <a:pt x="0" y="194284"/>
                </a:lnTo>
                <a:lnTo>
                  <a:pt x="1261249" y="194284"/>
                </a:lnTo>
                <a:lnTo>
                  <a:pt x="1261249" y="0"/>
                </a:lnTo>
                <a:close/>
              </a:path>
            </a:pathLst>
          </a:custGeom>
          <a:solidFill>
            <a:srgbClr val="7BAE5F"/>
          </a:solidFill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</xdr:grpSp>
    <xdr:clientData/>
  </xdr:twoCellAnchor>
  <xdr:twoCellAnchor>
    <xdr:from>
      <xdr:col>0</xdr:col>
      <xdr:colOff>80264</xdr:colOff>
      <xdr:row>9</xdr:row>
      <xdr:rowOff>94613</xdr:rowOff>
    </xdr:from>
    <xdr:to>
      <xdr:col>3</xdr:col>
      <xdr:colOff>0</xdr:colOff>
      <xdr:row>11</xdr:row>
      <xdr:rowOff>184511</xdr:rowOff>
    </xdr:to>
    <xdr:sp macro="" textlink="">
      <xdr:nvSpPr>
        <xdr:cNvPr id="31" name="object 41">
          <a:extLst>
            <a:ext uri="{FF2B5EF4-FFF2-40B4-BE49-F238E27FC236}">
              <a16:creationId xmlns:a16="http://schemas.microsoft.com/office/drawing/2014/main" id="{6B1FC7E5-AE0D-48D0-9063-7CE93CA15BED}"/>
            </a:ext>
          </a:extLst>
        </xdr:cNvPr>
        <xdr:cNvSpPr txBox="1"/>
      </xdr:nvSpPr>
      <xdr:spPr>
        <a:xfrm>
          <a:off x="80264" y="1809113"/>
          <a:ext cx="2205736" cy="470898"/>
        </a:xfrm>
        <a:prstGeom prst="rect">
          <a:avLst/>
        </a:prstGeom>
      </xdr:spPr>
      <xdr:txBody>
        <a:bodyPr vert="horz" wrap="square" lIns="0" tIns="3175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250"/>
            </a:spcBef>
          </a:pPr>
          <a:r>
            <a:rPr sz="1425" b="1" spc="15" baseline="2923">
              <a:solidFill>
                <a:srgbClr val="2E463A"/>
              </a:solidFill>
              <a:latin typeface="Trebuchet MS"/>
              <a:cs typeface="Trebuchet MS"/>
            </a:rPr>
            <a:t>Días</a:t>
          </a:r>
          <a:r>
            <a:rPr sz="1425" b="1" spc="-22" baseline="2923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425" b="1" spc="22" baseline="2923">
              <a:solidFill>
                <a:srgbClr val="2E463A"/>
              </a:solidFill>
              <a:latin typeface="Trebuchet MS"/>
              <a:cs typeface="Trebuchet MS"/>
            </a:rPr>
            <a:t>de</a:t>
          </a:r>
          <a:r>
            <a:rPr sz="1425" b="1" spc="-22" baseline="2923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425" b="1" spc="22" baseline="2923">
              <a:solidFill>
                <a:srgbClr val="2E463A"/>
              </a:solidFill>
              <a:latin typeface="Trebuchet MS"/>
              <a:cs typeface="Trebuchet MS"/>
            </a:rPr>
            <a:t>Consumo:  </a:t>
          </a:r>
          <a:r>
            <a:rPr sz="1425" b="1" spc="52" baseline="2923">
              <a:solidFill>
                <a:srgbClr val="2E463A"/>
              </a:solidFill>
              <a:latin typeface="Trebuchet MS"/>
              <a:cs typeface="Trebuchet MS"/>
            </a:rPr>
            <a:t> </a:t>
          </a:r>
          <a:endParaRPr sz="850">
            <a:latin typeface="Trebuchet MS"/>
            <a:cs typeface="Trebuchet MS"/>
          </a:endParaRPr>
        </a:p>
        <a:p>
          <a:pPr marL="14604">
            <a:lnSpc>
              <a:spcPct val="100000"/>
            </a:lnSpc>
            <a:spcBef>
              <a:spcPts val="155"/>
            </a:spcBef>
          </a:pPr>
          <a:r>
            <a:rPr sz="950" b="1" spc="10">
              <a:solidFill>
                <a:srgbClr val="2E463A"/>
              </a:solidFill>
              <a:latin typeface="Trebuchet MS"/>
              <a:cs typeface="Trebuchet MS"/>
            </a:rPr>
            <a:t>Planta:</a:t>
          </a:r>
          <a:r>
            <a:rPr sz="950" b="1" spc="29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lang="es-MX" sz="1350" b="1" kern="1200" spc="0" baseline="3086">
              <a:solidFill>
                <a:srgbClr val="22362C"/>
              </a:solidFill>
              <a:latin typeface="Trebuchet MS"/>
              <a:ea typeface="+mn-ea"/>
              <a:cs typeface="Trebuchet MS"/>
            </a:rPr>
            <a:t>INCUBANT</a:t>
          </a:r>
          <a:endParaRPr sz="1350" b="1" kern="1200" spc="0" baseline="3086">
            <a:solidFill>
              <a:srgbClr val="22362C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4</xdr:col>
      <xdr:colOff>565200</xdr:colOff>
      <xdr:row>40</xdr:row>
      <xdr:rowOff>151498</xdr:rowOff>
    </xdr:from>
    <xdr:to>
      <xdr:col>9</xdr:col>
      <xdr:colOff>33070</xdr:colOff>
      <xdr:row>47</xdr:row>
      <xdr:rowOff>26276</xdr:rowOff>
    </xdr:to>
    <xdr:sp macro="" textlink="">
      <xdr:nvSpPr>
        <xdr:cNvPr id="32" name="object 42">
          <a:extLst>
            <a:ext uri="{FF2B5EF4-FFF2-40B4-BE49-F238E27FC236}">
              <a16:creationId xmlns:a16="http://schemas.microsoft.com/office/drawing/2014/main" id="{F001B324-96C0-4883-ADAF-475B53FCFA7F}"/>
            </a:ext>
          </a:extLst>
        </xdr:cNvPr>
        <xdr:cNvSpPr txBox="1"/>
      </xdr:nvSpPr>
      <xdr:spPr>
        <a:xfrm>
          <a:off x="3613200" y="7771498"/>
          <a:ext cx="3304146" cy="1208278"/>
        </a:xfrm>
        <a:prstGeom prst="rect">
          <a:avLst/>
        </a:prstGeom>
        <a:ln w="11811">
          <a:solidFill>
            <a:srgbClr val="7BAE5F"/>
          </a:solidFill>
        </a:ln>
      </xdr:spPr>
      <xdr:txBody>
        <a:bodyPr vert="horz" wrap="square" lIns="0" tIns="571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45"/>
            </a:spcBef>
          </a:pPr>
          <a:endParaRPr sz="450">
            <a:latin typeface="Times New Roman"/>
            <a:cs typeface="Times New Roman"/>
          </a:endParaRPr>
        </a:p>
        <a:p>
          <a:pPr marL="105410">
            <a:lnSpc>
              <a:spcPct val="100000"/>
            </a:lnSpc>
          </a:pP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CEN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ENERGY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S.A.S.</a:t>
          </a:r>
          <a:r>
            <a:rPr sz="55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E.S.P.  NIT. 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901094947-0</a:t>
          </a:r>
          <a:endParaRPr sz="550">
            <a:latin typeface="Calibri"/>
            <a:cs typeface="Calibri"/>
          </a:endParaRPr>
        </a:p>
        <a:p>
          <a:pPr marL="105410">
            <a:lnSpc>
              <a:spcPct val="100000"/>
            </a:lnSpc>
            <a:spcBef>
              <a:spcPts val="25"/>
            </a:spcBef>
          </a:pPr>
          <a:r>
            <a:rPr sz="550" b="1">
              <a:solidFill>
                <a:srgbClr val="2E463A"/>
              </a:solidFill>
              <a:latin typeface="Calibri"/>
              <a:cs typeface="Calibri"/>
            </a:rPr>
            <a:t>Carrera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52 No.</a:t>
          </a:r>
          <a:r>
            <a:rPr sz="5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10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-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131 Medellín,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Antioquia,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Colombia.</a:t>
          </a:r>
          <a:endParaRPr sz="550">
            <a:latin typeface="Calibri"/>
            <a:cs typeface="Calibri"/>
          </a:endParaRPr>
        </a:p>
        <a:p>
          <a:pPr marL="105410">
            <a:lnSpc>
              <a:spcPct val="100000"/>
            </a:lnSpc>
            <a:spcBef>
              <a:spcPts val="15"/>
            </a:spcBef>
          </a:pPr>
          <a:r>
            <a:rPr sz="550" b="1">
              <a:solidFill>
                <a:srgbClr val="2E463A"/>
              </a:solidFill>
              <a:latin typeface="Calibri"/>
              <a:cs typeface="Calibri"/>
            </a:rPr>
            <a:t>Contacto:</a:t>
          </a:r>
          <a:r>
            <a:rPr sz="55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+57</a:t>
          </a:r>
          <a:r>
            <a:rPr sz="55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(604)</a:t>
          </a:r>
          <a:r>
            <a:rPr sz="5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4446500</a:t>
          </a:r>
          <a:endParaRPr sz="550">
            <a:latin typeface="Calibri"/>
            <a:cs typeface="Calibri"/>
          </a:endParaRPr>
        </a:p>
        <a:p>
          <a:pPr>
            <a:lnSpc>
              <a:spcPct val="100000"/>
            </a:lnSpc>
            <a:spcBef>
              <a:spcPts val="30"/>
            </a:spcBef>
          </a:pPr>
          <a:endParaRPr sz="550">
            <a:latin typeface="Calibri"/>
            <a:cs typeface="Calibri"/>
          </a:endParaRPr>
        </a:p>
        <a:p>
          <a:pPr marL="105410">
            <a:lnSpc>
              <a:spcPct val="100000"/>
            </a:lnSpc>
            <a:spcBef>
              <a:spcPts val="5"/>
            </a:spcBef>
          </a:pPr>
          <a:r>
            <a:rPr sz="550" b="1">
              <a:solidFill>
                <a:srgbClr val="2E463A"/>
              </a:solidFill>
              <a:latin typeface="Calibri"/>
              <a:cs typeface="Calibri"/>
            </a:rPr>
            <a:t>Actividad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Económica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 Principal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3512</a:t>
          </a:r>
          <a:r>
            <a:rPr sz="55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* Régimen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Común</a:t>
          </a:r>
          <a:endParaRPr sz="550">
            <a:latin typeface="Calibri"/>
            <a:cs typeface="Calibri"/>
          </a:endParaRPr>
        </a:p>
        <a:p>
          <a:pPr>
            <a:lnSpc>
              <a:spcPct val="100000"/>
            </a:lnSpc>
            <a:spcBef>
              <a:spcPts val="25"/>
            </a:spcBef>
          </a:pPr>
          <a:endParaRPr sz="550">
            <a:latin typeface="Calibri"/>
            <a:cs typeface="Calibri"/>
          </a:endParaRPr>
        </a:p>
        <a:p>
          <a:pPr marL="105410">
            <a:lnSpc>
              <a:spcPct val="100000"/>
            </a:lnSpc>
            <a:spcBef>
              <a:spcPts val="5"/>
            </a:spcBef>
          </a:pPr>
          <a:r>
            <a:rPr lang="es-CO" sz="550" b="1">
              <a:solidFill>
                <a:srgbClr val="2E463A"/>
              </a:solidFill>
              <a:latin typeface="+mn-lt"/>
              <a:cs typeface="Calibri"/>
            </a:rPr>
            <a:t>Autorización Numeración de Facturación</a:t>
          </a:r>
        </a:p>
        <a:p>
          <a:pPr marL="105410">
            <a:lnSpc>
              <a:spcPct val="100000"/>
            </a:lnSpc>
            <a:spcBef>
              <a:spcPts val="5"/>
            </a:spcBef>
          </a:pPr>
          <a:r>
            <a:rPr lang="es-CO" sz="550" b="1">
              <a:solidFill>
                <a:srgbClr val="2E463A"/>
              </a:solidFill>
              <a:latin typeface="+mn-lt"/>
              <a:cs typeface="Calibri"/>
            </a:rPr>
            <a:t>No. 18764039136852 Rango desde FE1013 hasta FE2000</a:t>
          </a:r>
        </a:p>
        <a:p>
          <a:pPr marL="105410">
            <a:lnSpc>
              <a:spcPct val="100000"/>
            </a:lnSpc>
            <a:spcBef>
              <a:spcPts val="5"/>
            </a:spcBef>
          </a:pPr>
          <a:r>
            <a:rPr lang="es-CO" sz="550" b="1">
              <a:solidFill>
                <a:srgbClr val="2E463A"/>
              </a:solidFill>
              <a:latin typeface="+mn-lt"/>
              <a:cs typeface="Calibri"/>
            </a:rPr>
            <a:t>Vigencia desde el 04/11/2021 hasta el 04/11/2023</a:t>
          </a:r>
        </a:p>
        <a:p>
          <a:pPr marL="103505">
            <a:lnSpc>
              <a:spcPct val="100000"/>
            </a:lnSpc>
            <a:spcBef>
              <a:spcPts val="275"/>
            </a:spcBef>
          </a:pPr>
          <a:r>
            <a:rPr sz="825" b="1" baseline="-10101">
              <a:solidFill>
                <a:srgbClr val="2E463A"/>
              </a:solidFill>
              <a:latin typeface="Calibri"/>
              <a:cs typeface="Calibri"/>
            </a:rPr>
            <a:t>CUFE:   </a:t>
          </a:r>
          <a:endParaRPr lang="es-ES" sz="825" b="1" baseline="-10101">
            <a:solidFill>
              <a:srgbClr val="2E463A"/>
            </a:solidFill>
            <a:latin typeface="Calibri"/>
            <a:cs typeface="Calibri"/>
          </a:endParaRPr>
        </a:p>
        <a:p>
          <a:pPr marL="103505">
            <a:lnSpc>
              <a:spcPct val="100000"/>
            </a:lnSpc>
            <a:spcBef>
              <a:spcPts val="275"/>
            </a:spcBef>
          </a:pPr>
          <a:r>
            <a:rPr sz="550" b="1">
              <a:solidFill>
                <a:srgbClr val="2E463A"/>
              </a:solidFill>
              <a:latin typeface="Calibri"/>
              <a:cs typeface="Calibri"/>
            </a:rPr>
            <a:t>Fecha</a:t>
          </a:r>
          <a:r>
            <a:rPr sz="55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Aceptación</a:t>
          </a:r>
          <a:r>
            <a:rPr sz="55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DIAN:	</a:t>
          </a:r>
          <a:endParaRPr sz="825" baseline="5050">
            <a:solidFill>
              <a:srgbClr val="273C18"/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435915</xdr:colOff>
      <xdr:row>7</xdr:row>
      <xdr:rowOff>571</xdr:rowOff>
    </xdr:from>
    <xdr:to>
      <xdr:col>6</xdr:col>
      <xdr:colOff>336220</xdr:colOff>
      <xdr:row>7</xdr:row>
      <xdr:rowOff>147256</xdr:rowOff>
    </xdr:to>
    <xdr:sp macro="" textlink="">
      <xdr:nvSpPr>
        <xdr:cNvPr id="33" name="object 43">
          <a:extLst>
            <a:ext uri="{FF2B5EF4-FFF2-40B4-BE49-F238E27FC236}">
              <a16:creationId xmlns:a16="http://schemas.microsoft.com/office/drawing/2014/main" id="{38CB17C0-D737-4EE5-A416-3A4CA26A693E}"/>
            </a:ext>
          </a:extLst>
        </xdr:cNvPr>
        <xdr:cNvSpPr txBox="1"/>
      </xdr:nvSpPr>
      <xdr:spPr>
        <a:xfrm>
          <a:off x="4398315" y="1280731"/>
          <a:ext cx="692785" cy="146685"/>
        </a:xfrm>
        <a:prstGeom prst="rect">
          <a:avLst/>
        </a:prstGeom>
      </xdr:spPr>
      <xdr:txBody>
        <a:bodyPr vert="horz" wrap="square" lIns="0" tIns="1143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90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Ahorr</a:t>
          </a:r>
          <a:r>
            <a:rPr sz="800" b="1" spc="-5">
              <a:solidFill>
                <a:srgbClr val="FFFFFF"/>
              </a:solidFill>
              <a:latin typeface="Trebuchet MS"/>
              <a:cs typeface="Trebuchet MS"/>
            </a:rPr>
            <a:t>o</a:t>
          </a:r>
          <a:r>
            <a:rPr sz="800" b="1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Actual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6</xdr:col>
      <xdr:colOff>688772</xdr:colOff>
      <xdr:row>6</xdr:row>
      <xdr:rowOff>171158</xdr:rowOff>
    </xdr:from>
    <xdr:to>
      <xdr:col>8</xdr:col>
      <xdr:colOff>426517</xdr:colOff>
      <xdr:row>9</xdr:row>
      <xdr:rowOff>89814</xdr:rowOff>
    </xdr:to>
    <xdr:grpSp>
      <xdr:nvGrpSpPr>
        <xdr:cNvPr id="34" name="object 44">
          <a:extLst>
            <a:ext uri="{FF2B5EF4-FFF2-40B4-BE49-F238E27FC236}">
              <a16:creationId xmlns:a16="http://schemas.microsoft.com/office/drawing/2014/main" id="{AECB17D2-DEA5-4C0E-AA74-1ACC94363C9C}"/>
            </a:ext>
          </a:extLst>
        </xdr:cNvPr>
        <xdr:cNvGrpSpPr/>
      </xdr:nvGrpSpPr>
      <xdr:grpSpPr>
        <a:xfrm>
          <a:off x="5269176" y="1305754"/>
          <a:ext cx="1264547" cy="485953"/>
          <a:chOff x="5551551" y="2201570"/>
          <a:chExt cx="1261745" cy="490156"/>
        </a:xfrm>
      </xdr:grpSpPr>
      <xdr:sp macro="" textlink="">
        <xdr:nvSpPr>
          <xdr:cNvPr id="35" name="object 45">
            <a:extLst>
              <a:ext uri="{FF2B5EF4-FFF2-40B4-BE49-F238E27FC236}">
                <a16:creationId xmlns:a16="http://schemas.microsoft.com/office/drawing/2014/main" id="{68F843D9-6699-9984-A94C-5EA66ED33A64}"/>
              </a:ext>
            </a:extLst>
          </xdr:cNvPr>
          <xdr:cNvSpPr/>
        </xdr:nvSpPr>
        <xdr:spPr>
          <a:xfrm>
            <a:off x="5556377" y="2205951"/>
            <a:ext cx="1250950" cy="485775"/>
          </a:xfrm>
          <a:custGeom>
            <a:avLst/>
            <a:gdLst/>
            <a:ahLst/>
            <a:cxnLst/>
            <a:rect l="l" t="t" r="r" b="b"/>
            <a:pathLst>
              <a:path w="1250950" h="485775">
                <a:moveTo>
                  <a:pt x="0" y="485432"/>
                </a:moveTo>
                <a:lnTo>
                  <a:pt x="1250416" y="485432"/>
                </a:lnTo>
                <a:lnTo>
                  <a:pt x="1250416" y="0"/>
                </a:lnTo>
                <a:lnTo>
                  <a:pt x="0" y="0"/>
                </a:lnTo>
                <a:lnTo>
                  <a:pt x="0" y="485432"/>
                </a:lnTo>
                <a:close/>
              </a:path>
            </a:pathLst>
          </a:custGeom>
          <a:ln w="11811">
            <a:solidFill>
              <a:srgbClr val="7BAE5F"/>
            </a:solidFill>
          </a:ln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  <xdr:sp macro="" textlink="">
        <xdr:nvSpPr>
          <xdr:cNvPr id="36" name="object 46">
            <a:extLst>
              <a:ext uri="{FF2B5EF4-FFF2-40B4-BE49-F238E27FC236}">
                <a16:creationId xmlns:a16="http://schemas.microsoft.com/office/drawing/2014/main" id="{78A03330-BE2D-4A42-CFD7-5BC1664B9DDE}"/>
              </a:ext>
            </a:extLst>
          </xdr:cNvPr>
          <xdr:cNvSpPr/>
        </xdr:nvSpPr>
        <xdr:spPr>
          <a:xfrm>
            <a:off x="5551551" y="2201570"/>
            <a:ext cx="1261745" cy="194310"/>
          </a:xfrm>
          <a:custGeom>
            <a:avLst/>
            <a:gdLst/>
            <a:ahLst/>
            <a:cxnLst/>
            <a:rect l="l" t="t" r="r" b="b"/>
            <a:pathLst>
              <a:path w="1261745" h="194310">
                <a:moveTo>
                  <a:pt x="1261249" y="0"/>
                </a:moveTo>
                <a:lnTo>
                  <a:pt x="0" y="0"/>
                </a:lnTo>
                <a:lnTo>
                  <a:pt x="0" y="194284"/>
                </a:lnTo>
                <a:lnTo>
                  <a:pt x="1261249" y="194284"/>
                </a:lnTo>
                <a:lnTo>
                  <a:pt x="1261249" y="0"/>
                </a:lnTo>
                <a:close/>
              </a:path>
            </a:pathLst>
          </a:custGeom>
          <a:solidFill>
            <a:srgbClr val="7BAE5F"/>
          </a:solidFill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</xdr:grpSp>
    <xdr:clientData/>
  </xdr:twoCellAnchor>
  <xdr:twoCellAnchor>
    <xdr:from>
      <xdr:col>7</xdr:col>
      <xdr:colOff>122224</xdr:colOff>
      <xdr:row>7</xdr:row>
      <xdr:rowOff>1460</xdr:rowOff>
    </xdr:from>
    <xdr:to>
      <xdr:col>8</xdr:col>
      <xdr:colOff>245414</xdr:colOff>
      <xdr:row>7</xdr:row>
      <xdr:rowOff>148145</xdr:rowOff>
    </xdr:to>
    <xdr:sp macro="" textlink="">
      <xdr:nvSpPr>
        <xdr:cNvPr id="37" name="object 47">
          <a:extLst>
            <a:ext uri="{FF2B5EF4-FFF2-40B4-BE49-F238E27FC236}">
              <a16:creationId xmlns:a16="http://schemas.microsoft.com/office/drawing/2014/main" id="{F8339250-3C2B-4376-995F-6252650EFF26}"/>
            </a:ext>
          </a:extLst>
        </xdr:cNvPr>
        <xdr:cNvSpPr txBox="1"/>
      </xdr:nvSpPr>
      <xdr:spPr>
        <a:xfrm>
          <a:off x="5669584" y="1281620"/>
          <a:ext cx="915670" cy="146685"/>
        </a:xfrm>
        <a:prstGeom prst="rect">
          <a:avLst/>
        </a:prstGeom>
      </xdr:spPr>
      <xdr:txBody>
        <a:bodyPr vert="horz" wrap="square" lIns="0" tIns="1143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90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Ahorro</a:t>
          </a:r>
          <a:r>
            <a:rPr sz="800" b="1" spc="-30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Acumulado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358385</xdr:colOff>
      <xdr:row>8</xdr:row>
      <xdr:rowOff>32966</xdr:rowOff>
    </xdr:from>
    <xdr:to>
      <xdr:col>6</xdr:col>
      <xdr:colOff>503165</xdr:colOff>
      <xdr:row>9</xdr:row>
      <xdr:rowOff>35916</xdr:rowOff>
    </xdr:to>
    <xdr:sp macro="" textlink="">
      <xdr:nvSpPr>
        <xdr:cNvPr id="38" name="object 48">
          <a:extLst>
            <a:ext uri="{FF2B5EF4-FFF2-40B4-BE49-F238E27FC236}">
              <a16:creationId xmlns:a16="http://schemas.microsoft.com/office/drawing/2014/main" id="{FDAF63EA-D190-48BA-895C-65BD0516EC5D}"/>
            </a:ext>
          </a:extLst>
        </xdr:cNvPr>
        <xdr:cNvSpPr txBox="1"/>
      </xdr:nvSpPr>
      <xdr:spPr>
        <a:xfrm>
          <a:off x="4320785" y="1496006"/>
          <a:ext cx="937260" cy="185830"/>
        </a:xfrm>
        <a:prstGeom prst="rect">
          <a:avLst/>
        </a:prstGeom>
      </xdr:spPr>
      <xdr:txBody>
        <a:bodyPr vert="horz" wrap="square" lIns="0" tIns="14604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114"/>
            </a:spcBef>
          </a:pPr>
          <a:endParaRPr sz="1200">
            <a:latin typeface="Trebuchet MS"/>
            <a:cs typeface="Trebuchet MS"/>
          </a:endParaRPr>
        </a:p>
      </xdr:txBody>
    </xdr:sp>
    <xdr:clientData/>
  </xdr:twoCellAnchor>
  <xdr:twoCellAnchor>
    <xdr:from>
      <xdr:col>6</xdr:col>
      <xdr:colOff>693364</xdr:colOff>
      <xdr:row>8</xdr:row>
      <xdr:rowOff>25651</xdr:rowOff>
    </xdr:from>
    <xdr:to>
      <xdr:col>8</xdr:col>
      <xdr:colOff>406213</xdr:colOff>
      <xdr:row>9</xdr:row>
      <xdr:rowOff>7688</xdr:rowOff>
    </xdr:to>
    <xdr:sp macro="" textlink="$O$66">
      <xdr:nvSpPr>
        <xdr:cNvPr id="39" name="object 49">
          <a:extLst>
            <a:ext uri="{FF2B5EF4-FFF2-40B4-BE49-F238E27FC236}">
              <a16:creationId xmlns:a16="http://schemas.microsoft.com/office/drawing/2014/main" id="{94AAA37F-ECDC-4B69-8662-D255A2422600}"/>
            </a:ext>
          </a:extLst>
        </xdr:cNvPr>
        <xdr:cNvSpPr txBox="1"/>
      </xdr:nvSpPr>
      <xdr:spPr>
        <a:xfrm>
          <a:off x="5273768" y="1538445"/>
          <a:ext cx="1239651" cy="171136"/>
        </a:xfrm>
        <a:prstGeom prst="rect">
          <a:avLst/>
        </a:prstGeom>
      </xdr:spPr>
      <xdr:txBody>
        <a:bodyPr vert="horz" wrap="square" lIns="0" tIns="14604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>
            <a:lnSpc>
              <a:spcPct val="100000"/>
            </a:lnSpc>
            <a:spcBef>
              <a:spcPts val="114"/>
            </a:spcBef>
          </a:pPr>
          <a:fld id="{F6BC6A8B-F6F8-489B-BDE2-43C313921116}" type="TxLink">
            <a:rPr lang="en-US" sz="1050" b="1" i="0" u="none" strike="noStrike" kern="1200" spc="-70">
              <a:solidFill>
                <a:schemeClr val="accent6">
                  <a:lumMod val="50000"/>
                </a:schemeClr>
              </a:solidFill>
              <a:latin typeface="Trebuchet MS"/>
              <a:ea typeface="+mn-ea"/>
              <a:cs typeface="Trebuchet MS"/>
            </a:rPr>
            <a:pPr marL="0" indent="0" algn="ctr" defTabSz="914400" rtl="0" eaLnBrk="1" latinLnBrk="0" hangingPunct="1">
              <a:lnSpc>
                <a:spcPct val="100000"/>
              </a:lnSpc>
              <a:spcBef>
                <a:spcPts val="114"/>
              </a:spcBef>
            </a:pPr>
            <a:t>$ 65.968.485.251,22</a:t>
          </a:fld>
          <a:endParaRPr sz="1050" b="1" kern="1200" spc="-70">
            <a:solidFill>
              <a:schemeClr val="accent6">
                <a:lumMod val="50000"/>
              </a:schemeClr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5</xdr:col>
      <xdr:colOff>128595</xdr:colOff>
      <xdr:row>27</xdr:row>
      <xdr:rowOff>126622</xdr:rowOff>
    </xdr:from>
    <xdr:to>
      <xdr:col>6</xdr:col>
      <xdr:colOff>636928</xdr:colOff>
      <xdr:row>30</xdr:row>
      <xdr:rowOff>42825</xdr:rowOff>
    </xdr:to>
    <xdr:sp macro="" textlink="">
      <xdr:nvSpPr>
        <xdr:cNvPr id="40" name="object 76">
          <a:extLst>
            <a:ext uri="{FF2B5EF4-FFF2-40B4-BE49-F238E27FC236}">
              <a16:creationId xmlns:a16="http://schemas.microsoft.com/office/drawing/2014/main" id="{F6BAC4FB-D602-48A8-991F-33AE89FCDFE7}"/>
            </a:ext>
          </a:extLst>
        </xdr:cNvPr>
        <xdr:cNvSpPr/>
      </xdr:nvSpPr>
      <xdr:spPr>
        <a:xfrm>
          <a:off x="4090995" y="5064382"/>
          <a:ext cx="1300813" cy="464843"/>
        </a:xfrm>
        <a:custGeom>
          <a:avLst/>
          <a:gdLst/>
          <a:ahLst/>
          <a:cxnLst/>
          <a:rect l="l" t="t" r="r" b="b"/>
          <a:pathLst>
            <a:path w="1250314" h="485140">
              <a:moveTo>
                <a:pt x="0" y="484835"/>
              </a:moveTo>
              <a:lnTo>
                <a:pt x="1250061" y="484835"/>
              </a:lnTo>
              <a:lnTo>
                <a:pt x="1250061" y="0"/>
              </a:lnTo>
              <a:lnTo>
                <a:pt x="0" y="0"/>
              </a:lnTo>
              <a:lnTo>
                <a:pt x="0" y="484835"/>
              </a:lnTo>
              <a:close/>
            </a:path>
          </a:pathLst>
        </a:custGeom>
        <a:ln w="11811">
          <a:solidFill>
            <a:srgbClr val="7BAE5F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5</xdr:col>
      <xdr:colOff>124626</xdr:colOff>
      <xdr:row>27</xdr:row>
      <xdr:rowOff>121680</xdr:rowOff>
    </xdr:from>
    <xdr:to>
      <xdr:col>6</xdr:col>
      <xdr:colOff>644865</xdr:colOff>
      <xdr:row>28</xdr:row>
      <xdr:rowOff>125304</xdr:rowOff>
    </xdr:to>
    <xdr:sp macro="" textlink="">
      <xdr:nvSpPr>
        <xdr:cNvPr id="41" name="object 77">
          <a:extLst>
            <a:ext uri="{FF2B5EF4-FFF2-40B4-BE49-F238E27FC236}">
              <a16:creationId xmlns:a16="http://schemas.microsoft.com/office/drawing/2014/main" id="{54B5E8AD-94E1-4879-9FAD-268562215DD8}"/>
            </a:ext>
          </a:extLst>
        </xdr:cNvPr>
        <xdr:cNvSpPr/>
      </xdr:nvSpPr>
      <xdr:spPr>
        <a:xfrm>
          <a:off x="4087026" y="5059440"/>
          <a:ext cx="1312719" cy="186504"/>
        </a:xfrm>
        <a:custGeom>
          <a:avLst/>
          <a:gdLst/>
          <a:ahLst/>
          <a:cxnLst/>
          <a:rect l="l" t="t" r="r" b="b"/>
          <a:pathLst>
            <a:path w="1261745" h="194310">
              <a:moveTo>
                <a:pt x="1261249" y="0"/>
              </a:moveTo>
              <a:lnTo>
                <a:pt x="0" y="0"/>
              </a:lnTo>
              <a:lnTo>
                <a:pt x="0" y="194284"/>
              </a:lnTo>
              <a:lnTo>
                <a:pt x="1261249" y="194284"/>
              </a:lnTo>
              <a:lnTo>
                <a:pt x="1261249" y="0"/>
              </a:lnTo>
              <a:close/>
            </a:path>
          </a:pathLst>
        </a:custGeom>
        <a:solidFill>
          <a:srgbClr val="7BAE5F"/>
        </a:solidFill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6</xdr:col>
      <xdr:colOff>710218</xdr:colOff>
      <xdr:row>27</xdr:row>
      <xdr:rowOff>126561</xdr:rowOff>
    </xdr:from>
    <xdr:to>
      <xdr:col>8</xdr:col>
      <xdr:colOff>424466</xdr:colOff>
      <xdr:row>30</xdr:row>
      <xdr:rowOff>43992</xdr:rowOff>
    </xdr:to>
    <xdr:sp macro="" textlink="">
      <xdr:nvSpPr>
        <xdr:cNvPr id="42" name="object 78">
          <a:extLst>
            <a:ext uri="{FF2B5EF4-FFF2-40B4-BE49-F238E27FC236}">
              <a16:creationId xmlns:a16="http://schemas.microsoft.com/office/drawing/2014/main" id="{AA198BC8-E8B0-4458-A0D2-6A3E4C156952}"/>
            </a:ext>
          </a:extLst>
        </xdr:cNvPr>
        <xdr:cNvSpPr/>
      </xdr:nvSpPr>
      <xdr:spPr>
        <a:xfrm>
          <a:off x="5282218" y="5270061"/>
          <a:ext cx="1238248" cy="488931"/>
        </a:xfrm>
        <a:custGeom>
          <a:avLst/>
          <a:gdLst/>
          <a:ahLst/>
          <a:cxnLst/>
          <a:rect l="l" t="t" r="r" b="b"/>
          <a:pathLst>
            <a:path w="1250315" h="486409">
              <a:moveTo>
                <a:pt x="0" y="485787"/>
              </a:moveTo>
              <a:lnTo>
                <a:pt x="1250061" y="485787"/>
              </a:lnTo>
              <a:lnTo>
                <a:pt x="1250061" y="0"/>
              </a:lnTo>
              <a:lnTo>
                <a:pt x="0" y="0"/>
              </a:lnTo>
              <a:lnTo>
                <a:pt x="0" y="485787"/>
              </a:lnTo>
              <a:close/>
            </a:path>
          </a:pathLst>
        </a:custGeom>
        <a:ln w="11811">
          <a:solidFill>
            <a:srgbClr val="7BAE5F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6</xdr:col>
      <xdr:colOff>706249</xdr:colOff>
      <xdr:row>27</xdr:row>
      <xdr:rowOff>122638</xdr:rowOff>
    </xdr:from>
    <xdr:to>
      <xdr:col>8</xdr:col>
      <xdr:colOff>432403</xdr:colOff>
      <xdr:row>28</xdr:row>
      <xdr:rowOff>126262</xdr:rowOff>
    </xdr:to>
    <xdr:sp macro="" textlink="">
      <xdr:nvSpPr>
        <xdr:cNvPr id="43" name="object 79">
          <a:extLst>
            <a:ext uri="{FF2B5EF4-FFF2-40B4-BE49-F238E27FC236}">
              <a16:creationId xmlns:a16="http://schemas.microsoft.com/office/drawing/2014/main" id="{A9A486A3-E57B-4FD1-9344-0275C7A8818C}"/>
            </a:ext>
          </a:extLst>
        </xdr:cNvPr>
        <xdr:cNvSpPr/>
      </xdr:nvSpPr>
      <xdr:spPr>
        <a:xfrm>
          <a:off x="5461129" y="5060398"/>
          <a:ext cx="1311114" cy="186504"/>
        </a:xfrm>
        <a:custGeom>
          <a:avLst/>
          <a:gdLst/>
          <a:ahLst/>
          <a:cxnLst/>
          <a:rect l="l" t="t" r="r" b="b"/>
          <a:pathLst>
            <a:path w="1261745" h="194310">
              <a:moveTo>
                <a:pt x="1261249" y="0"/>
              </a:moveTo>
              <a:lnTo>
                <a:pt x="0" y="0"/>
              </a:lnTo>
              <a:lnTo>
                <a:pt x="0" y="193928"/>
              </a:lnTo>
              <a:lnTo>
                <a:pt x="1261249" y="193928"/>
              </a:lnTo>
              <a:lnTo>
                <a:pt x="1261249" y="0"/>
              </a:lnTo>
              <a:close/>
            </a:path>
          </a:pathLst>
        </a:custGeom>
        <a:solidFill>
          <a:srgbClr val="7BAE5F"/>
        </a:solidFill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5</xdr:col>
      <xdr:colOff>231150</xdr:colOff>
      <xdr:row>27</xdr:row>
      <xdr:rowOff>88734</xdr:rowOff>
    </xdr:from>
    <xdr:to>
      <xdr:col>6</xdr:col>
      <xdr:colOff>623327</xdr:colOff>
      <xdr:row>29</xdr:row>
      <xdr:rowOff>171259</xdr:rowOff>
    </xdr:to>
    <xdr:sp macro="" textlink="">
      <xdr:nvSpPr>
        <xdr:cNvPr id="44" name="object 80">
          <a:extLst>
            <a:ext uri="{FF2B5EF4-FFF2-40B4-BE49-F238E27FC236}">
              <a16:creationId xmlns:a16="http://schemas.microsoft.com/office/drawing/2014/main" id="{41C89C71-F404-491D-8515-0D7B44B7BB42}"/>
            </a:ext>
          </a:extLst>
        </xdr:cNvPr>
        <xdr:cNvSpPr txBox="1"/>
      </xdr:nvSpPr>
      <xdr:spPr>
        <a:xfrm>
          <a:off x="4048154" y="5194414"/>
          <a:ext cx="1155577" cy="460724"/>
        </a:xfrm>
        <a:prstGeom prst="rect">
          <a:avLst/>
        </a:prstGeom>
      </xdr:spPr>
      <xdr:txBody>
        <a:bodyPr vert="horz" wrap="square" lIns="0" tIns="679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76530">
            <a:lnSpc>
              <a:spcPct val="100000"/>
            </a:lnSpc>
            <a:spcBef>
              <a:spcPts val="535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Periodo</a:t>
          </a:r>
          <a:r>
            <a:rPr sz="800" b="1" spc="-45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Actual</a:t>
          </a:r>
          <a:endParaRPr sz="800">
            <a:latin typeface="Trebuchet MS"/>
            <a:cs typeface="Trebuchet MS"/>
          </a:endParaRPr>
        </a:p>
        <a:p>
          <a:pPr>
            <a:lnSpc>
              <a:spcPct val="100000"/>
            </a:lnSpc>
            <a:spcBef>
              <a:spcPts val="735"/>
            </a:spcBef>
          </a:pPr>
          <a:r>
            <a:rPr lang="es-MX" sz="1250" b="1" spc="15" baseline="0">
              <a:solidFill>
                <a:srgbClr val="22362C"/>
              </a:solidFill>
              <a:latin typeface="Trebuchet MS"/>
              <a:cs typeface="Trebuchet MS"/>
            </a:rPr>
            <a:t>            </a:t>
          </a:r>
          <a:endParaRPr sz="1050">
            <a:latin typeface="Trebuchet MS"/>
            <a:cs typeface="Trebuchet MS"/>
          </a:endParaRPr>
        </a:p>
      </xdr:txBody>
    </xdr:sp>
    <xdr:clientData/>
  </xdr:twoCellAnchor>
  <xdr:twoCellAnchor>
    <xdr:from>
      <xdr:col>6</xdr:col>
      <xdr:colOff>728561</xdr:colOff>
      <xdr:row>27</xdr:row>
      <xdr:rowOff>90649</xdr:rowOff>
    </xdr:from>
    <xdr:to>
      <xdr:col>8</xdr:col>
      <xdr:colOff>539750</xdr:colOff>
      <xdr:row>29</xdr:row>
      <xdr:rowOff>172533</xdr:rowOff>
    </xdr:to>
    <xdr:sp macro="" textlink="">
      <xdr:nvSpPr>
        <xdr:cNvPr id="45" name="object 81">
          <a:extLst>
            <a:ext uri="{FF2B5EF4-FFF2-40B4-BE49-F238E27FC236}">
              <a16:creationId xmlns:a16="http://schemas.microsoft.com/office/drawing/2014/main" id="{AA224668-35B4-4AB1-9638-8AA7A18BE2CC}"/>
            </a:ext>
          </a:extLst>
        </xdr:cNvPr>
        <xdr:cNvSpPr txBox="1"/>
      </xdr:nvSpPr>
      <xdr:spPr>
        <a:xfrm>
          <a:off x="5300561" y="5234149"/>
          <a:ext cx="1335189" cy="462884"/>
        </a:xfrm>
        <a:prstGeom prst="rect">
          <a:avLst/>
        </a:prstGeom>
      </xdr:spPr>
      <xdr:txBody>
        <a:bodyPr vert="horz" wrap="square" lIns="0" tIns="6731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92100">
            <a:lnSpc>
              <a:spcPct val="100000"/>
            </a:lnSpc>
            <a:spcBef>
              <a:spcPts val="530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Acumulado</a:t>
          </a:r>
          <a:endParaRPr sz="800">
            <a:latin typeface="Trebuchet MS"/>
            <a:cs typeface="Trebuchet MS"/>
          </a:endParaRPr>
        </a:p>
        <a:p>
          <a:pPr>
            <a:lnSpc>
              <a:spcPct val="100000"/>
            </a:lnSpc>
            <a:spcBef>
              <a:spcPts val="730"/>
            </a:spcBef>
          </a:pPr>
          <a:r>
            <a:rPr lang="es-ES" sz="1250" b="1" spc="-30" baseline="0">
              <a:solidFill>
                <a:srgbClr val="22362C"/>
              </a:solidFill>
              <a:latin typeface="Trebuchet MS"/>
              <a:cs typeface="Trebuchet MS"/>
            </a:rPr>
            <a:t>               </a:t>
          </a:r>
          <a:r>
            <a:rPr sz="1250" b="1" spc="-30">
              <a:solidFill>
                <a:srgbClr val="22362C"/>
              </a:solidFill>
              <a:latin typeface="Trebuchet MS"/>
              <a:cs typeface="Trebuchet MS"/>
            </a:rPr>
            <a:t> </a:t>
          </a:r>
          <a:r>
            <a:rPr lang="es-ES" sz="1250" b="1" spc="-30">
              <a:solidFill>
                <a:srgbClr val="22362C"/>
              </a:solidFill>
              <a:latin typeface="Trebuchet MS"/>
              <a:cs typeface="Trebuchet MS"/>
            </a:rPr>
            <a:t> </a:t>
          </a:r>
          <a:endParaRPr sz="110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624972</xdr:colOff>
      <xdr:row>44</xdr:row>
      <xdr:rowOff>33001</xdr:rowOff>
    </xdr:from>
    <xdr:to>
      <xdr:col>4</xdr:col>
      <xdr:colOff>478221</xdr:colOff>
      <xdr:row>45</xdr:row>
      <xdr:rowOff>130814</xdr:rowOff>
    </xdr:to>
    <xdr:sp macro="" textlink="">
      <xdr:nvSpPr>
        <xdr:cNvPr id="46" name="object 82">
          <a:extLst>
            <a:ext uri="{FF2B5EF4-FFF2-40B4-BE49-F238E27FC236}">
              <a16:creationId xmlns:a16="http://schemas.microsoft.com/office/drawing/2014/main" id="{061A6942-5EDE-42AD-BB42-D9F69DB2F3E8}"/>
            </a:ext>
          </a:extLst>
        </xdr:cNvPr>
        <xdr:cNvSpPr txBox="1"/>
      </xdr:nvSpPr>
      <xdr:spPr>
        <a:xfrm>
          <a:off x="624972" y="8125967"/>
          <a:ext cx="3027373" cy="281744"/>
        </a:xfrm>
        <a:prstGeom prst="rect">
          <a:avLst/>
        </a:prstGeom>
      </xdr:spPr>
      <xdr:txBody>
        <a:bodyPr vert="horz" wrap="square" lIns="0" tIns="4318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indent="0" algn="l" defTabSz="914400" rtl="0" eaLnBrk="1" latinLnBrk="0" hangingPunct="1">
            <a:lnSpc>
              <a:spcPct val="100000"/>
            </a:lnSpc>
            <a:spcBef>
              <a:spcPts val="95"/>
            </a:spcBef>
          </a:pPr>
          <a:r>
            <a:rPr lang="es-CO" sz="800" b="1" kern="1200" spc="5">
              <a:solidFill>
                <a:srgbClr val="2E463A"/>
              </a:solidFill>
              <a:latin typeface="Trebuchet MS"/>
              <a:ea typeface="+mn-ea"/>
              <a:cs typeface="Trebuchet MS"/>
            </a:rPr>
            <a:t>CR 62 B 33 SUR 93 VDA LA VERDE CORR SAN ANTONIO DE PRADO</a:t>
          </a:r>
          <a:endParaRPr sz="800" b="1" kern="1200" spc="5">
            <a:solidFill>
              <a:srgbClr val="2E463A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0</xdr:col>
      <xdr:colOff>0</xdr:colOff>
      <xdr:row>41</xdr:row>
      <xdr:rowOff>109975</xdr:rowOff>
    </xdr:from>
    <xdr:to>
      <xdr:col>3</xdr:col>
      <xdr:colOff>525517</xdr:colOff>
      <xdr:row>44</xdr:row>
      <xdr:rowOff>42288</xdr:rowOff>
    </xdr:to>
    <xdr:sp macro="" textlink="">
      <xdr:nvSpPr>
        <xdr:cNvPr id="47" name="object 83">
          <a:extLst>
            <a:ext uri="{FF2B5EF4-FFF2-40B4-BE49-F238E27FC236}">
              <a16:creationId xmlns:a16="http://schemas.microsoft.com/office/drawing/2014/main" id="{5703C23D-CC6E-4FC9-8139-E0BE178A4832}"/>
            </a:ext>
          </a:extLst>
        </xdr:cNvPr>
        <xdr:cNvSpPr txBox="1"/>
      </xdr:nvSpPr>
      <xdr:spPr>
        <a:xfrm>
          <a:off x="0" y="7651147"/>
          <a:ext cx="2906110" cy="484107"/>
        </a:xfrm>
        <a:prstGeom prst="rect">
          <a:avLst/>
        </a:prstGeom>
      </xdr:spPr>
      <xdr:txBody>
        <a:bodyPr vert="horz" wrap="square" lIns="0" tIns="4318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38100">
            <a:lnSpc>
              <a:spcPct val="100000"/>
            </a:lnSpc>
            <a:spcBef>
              <a:spcPts val="340"/>
            </a:spcBef>
          </a:pPr>
          <a:r>
            <a:rPr sz="1350" b="1" spc="7" baseline="-6172">
              <a:solidFill>
                <a:srgbClr val="2E463A"/>
              </a:solidFill>
              <a:latin typeface="Trebuchet MS"/>
              <a:cs typeface="Trebuchet MS"/>
            </a:rPr>
            <a:t>Cliente: </a:t>
          </a:r>
          <a:r>
            <a:rPr sz="1350" b="1" spc="142" baseline="-6172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lang="es-CO" sz="800" b="1" spc="15" baseline="0">
              <a:solidFill>
                <a:srgbClr val="22362C"/>
              </a:solidFill>
              <a:latin typeface="Trebuchet MS"/>
              <a:cs typeface="Trebuchet MS"/>
            </a:rPr>
            <a:t>ANTIOQUEÑA DE INCUBACION SAS</a:t>
          </a:r>
        </a:p>
        <a:p>
          <a:pPr marL="38100">
            <a:lnSpc>
              <a:spcPct val="100000"/>
            </a:lnSpc>
            <a:spcBef>
              <a:spcPts val="340"/>
            </a:spcBef>
          </a:pPr>
          <a:r>
            <a:rPr sz="1350" b="1" kern="1200" spc="7" baseline="3086">
              <a:solidFill>
                <a:srgbClr val="2E463A"/>
              </a:solidFill>
              <a:latin typeface="Trebuchet MS"/>
              <a:ea typeface="+mn-ea"/>
              <a:cs typeface="Trebuchet MS"/>
            </a:rPr>
            <a:t>Nit: </a:t>
          </a:r>
          <a:r>
            <a:rPr lang="es-CO" sz="1350" b="1" kern="1200" spc="7" baseline="3086">
              <a:solidFill>
                <a:srgbClr val="2E463A"/>
              </a:solidFill>
              <a:latin typeface="Trebuchet MS"/>
              <a:ea typeface="+mn-ea"/>
              <a:cs typeface="Trebuchet MS"/>
            </a:rPr>
            <a:t>900762687</a:t>
          </a:r>
        </a:p>
      </xdr:txBody>
    </xdr:sp>
    <xdr:clientData/>
  </xdr:twoCellAnchor>
  <xdr:twoCellAnchor>
    <xdr:from>
      <xdr:col>0</xdr:col>
      <xdr:colOff>29056</xdr:colOff>
      <xdr:row>44</xdr:row>
      <xdr:rowOff>33490</xdr:rowOff>
    </xdr:from>
    <xdr:to>
      <xdr:col>0</xdr:col>
      <xdr:colOff>621511</xdr:colOff>
      <xdr:row>45</xdr:row>
      <xdr:rowOff>24600</xdr:rowOff>
    </xdr:to>
    <xdr:sp macro="" textlink="">
      <xdr:nvSpPr>
        <xdr:cNvPr id="48" name="object 84">
          <a:extLst>
            <a:ext uri="{FF2B5EF4-FFF2-40B4-BE49-F238E27FC236}">
              <a16:creationId xmlns:a16="http://schemas.microsoft.com/office/drawing/2014/main" id="{665C51DB-9C51-46C5-991A-0A68C7FDD7B9}"/>
            </a:ext>
          </a:extLst>
        </xdr:cNvPr>
        <xdr:cNvSpPr txBox="1"/>
      </xdr:nvSpPr>
      <xdr:spPr>
        <a:xfrm>
          <a:off x="29056" y="8080210"/>
          <a:ext cx="592455" cy="173990"/>
        </a:xfrm>
        <a:prstGeom prst="rect">
          <a:avLst/>
        </a:prstGeom>
      </xdr:spPr>
      <xdr:txBody>
        <a:bodyPr vert="horz" wrap="square" lIns="0" tIns="158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25"/>
            </a:spcBef>
          </a:pPr>
          <a:r>
            <a:rPr sz="900" b="1" spc="5">
              <a:solidFill>
                <a:srgbClr val="2E463A"/>
              </a:solidFill>
              <a:latin typeface="Trebuchet MS"/>
              <a:cs typeface="Trebuchet MS"/>
            </a:rPr>
            <a:t>Dirección</a:t>
          </a:r>
          <a:r>
            <a:rPr sz="1000" b="1" spc="5">
              <a:solidFill>
                <a:srgbClr val="2E463A"/>
              </a:solidFill>
              <a:latin typeface="Trebuchet MS"/>
              <a:cs typeface="Trebuchet MS"/>
            </a:rPr>
            <a:t>: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24790</xdr:colOff>
      <xdr:row>38</xdr:row>
      <xdr:rowOff>68032</xdr:rowOff>
    </xdr:from>
    <xdr:to>
      <xdr:col>1</xdr:col>
      <xdr:colOff>693683</xdr:colOff>
      <xdr:row>41</xdr:row>
      <xdr:rowOff>185888</xdr:rowOff>
    </xdr:to>
    <xdr:sp macro="" textlink="">
      <xdr:nvSpPr>
        <xdr:cNvPr id="49" name="object 85">
          <a:extLst>
            <a:ext uri="{FF2B5EF4-FFF2-40B4-BE49-F238E27FC236}">
              <a16:creationId xmlns:a16="http://schemas.microsoft.com/office/drawing/2014/main" id="{05ECF851-7163-47A3-ACA1-6D65DABB14DC}"/>
            </a:ext>
          </a:extLst>
        </xdr:cNvPr>
        <xdr:cNvSpPr txBox="1"/>
      </xdr:nvSpPr>
      <xdr:spPr>
        <a:xfrm>
          <a:off x="24790" y="7307032"/>
          <a:ext cx="1430893" cy="689356"/>
        </a:xfrm>
        <a:prstGeom prst="rect">
          <a:avLst/>
        </a:prstGeom>
      </xdr:spPr>
      <xdr:txBody>
        <a:bodyPr vert="horz" wrap="square" lIns="0" tIns="63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7305" marR="5080" indent="-6985">
            <a:lnSpc>
              <a:spcPct val="107900"/>
            </a:lnSpc>
            <a:spcBef>
              <a:spcPts val="5"/>
            </a:spcBef>
          </a:pPr>
          <a:r>
            <a:rPr sz="900" b="1" spc="-5">
              <a:solidFill>
                <a:srgbClr val="22362C"/>
              </a:solidFill>
              <a:latin typeface="Trebuchet MS"/>
              <a:cs typeface="Trebuchet MS"/>
            </a:rPr>
            <a:t>CEN ENERGY S.A.S. </a:t>
          </a:r>
          <a:r>
            <a:rPr sz="900" b="1">
              <a:solidFill>
                <a:srgbClr val="22362C"/>
              </a:solidFill>
              <a:latin typeface="Trebuchet MS"/>
              <a:cs typeface="Trebuchet MS"/>
            </a:rPr>
            <a:t> </a:t>
          </a:r>
          <a:r>
            <a:rPr sz="900" b="1" spc="-5">
              <a:solidFill>
                <a:srgbClr val="22362C"/>
              </a:solidFill>
              <a:latin typeface="Trebuchet MS"/>
              <a:cs typeface="Trebuchet MS"/>
            </a:rPr>
            <a:t>901094947-0 </a:t>
          </a:r>
          <a:r>
            <a:rPr sz="900" b="1">
              <a:solidFill>
                <a:srgbClr val="22362C"/>
              </a:solidFill>
              <a:latin typeface="Trebuchet MS"/>
              <a:cs typeface="Trebuchet MS"/>
            </a:rPr>
            <a:t> </a:t>
          </a:r>
          <a:endParaRPr lang="es-CO" sz="900" b="1">
            <a:solidFill>
              <a:srgbClr val="22362C"/>
            </a:solidFill>
            <a:latin typeface="Trebuchet MS"/>
            <a:cs typeface="Trebuchet MS"/>
          </a:endParaRPr>
        </a:p>
        <a:p>
          <a:pPr marL="27305" marR="5080" indent="-6985">
            <a:lnSpc>
              <a:spcPct val="107900"/>
            </a:lnSpc>
            <a:spcBef>
              <a:spcPts val="5"/>
            </a:spcBef>
          </a:pPr>
          <a:r>
            <a:rPr sz="750" b="1" spc="-10">
              <a:solidFill>
                <a:srgbClr val="22362C"/>
              </a:solidFill>
              <a:latin typeface="Trebuchet MS"/>
              <a:cs typeface="Trebuchet MS"/>
            </a:rPr>
            <a:t>FACTURA</a:t>
          </a:r>
          <a:r>
            <a:rPr sz="750" b="1" spc="-30">
              <a:solidFill>
                <a:srgbClr val="22362C"/>
              </a:solidFill>
              <a:latin typeface="Trebuchet MS"/>
              <a:cs typeface="Trebuchet MS"/>
            </a:rPr>
            <a:t> </a:t>
          </a:r>
          <a:endParaRPr lang="es-ES" sz="750" b="1" spc="-30">
            <a:solidFill>
              <a:srgbClr val="22362C"/>
            </a:solidFill>
            <a:latin typeface="Trebuchet MS"/>
            <a:cs typeface="Trebuchet MS"/>
          </a:endParaRPr>
        </a:p>
        <a:p>
          <a:pPr marL="27305" marR="5080" indent="-6985">
            <a:lnSpc>
              <a:spcPct val="107900"/>
            </a:lnSpc>
            <a:spcBef>
              <a:spcPts val="5"/>
            </a:spcBef>
          </a:pP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Factura</a:t>
          </a:r>
          <a:r>
            <a:rPr sz="800" b="1" spc="-1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No.</a:t>
          </a:r>
          <a:r>
            <a:rPr sz="800" b="1" spc="260">
              <a:solidFill>
                <a:srgbClr val="2E463A"/>
              </a:solidFill>
              <a:latin typeface="Trebuchet MS"/>
              <a:cs typeface="Trebuchet MS"/>
            </a:rPr>
            <a:t> </a:t>
          </a:r>
          <a:endParaRPr lang="es-ES" sz="800" b="1" spc="260">
            <a:solidFill>
              <a:srgbClr val="2E463A"/>
            </a:solidFill>
            <a:latin typeface="Trebuchet MS"/>
            <a:cs typeface="Trebuchet MS"/>
          </a:endParaRPr>
        </a:p>
        <a:p>
          <a:pPr marL="27305" marR="5080" indent="-6985">
            <a:lnSpc>
              <a:spcPct val="107900"/>
            </a:lnSpc>
            <a:spcBef>
              <a:spcPts val="5"/>
            </a:spcBef>
          </a:pPr>
          <a:r>
            <a:rPr sz="900" b="1" spc="10">
              <a:solidFill>
                <a:srgbClr val="2E463A"/>
              </a:solidFill>
              <a:latin typeface="Trebuchet MS"/>
              <a:cs typeface="Trebuchet MS"/>
            </a:rPr>
            <a:t>Contrato</a:t>
          </a:r>
          <a:r>
            <a:rPr sz="900" b="1" spc="-1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750" b="1">
              <a:solidFill>
                <a:srgbClr val="2E463A"/>
              </a:solidFill>
              <a:latin typeface="Trebuchet MS"/>
              <a:cs typeface="Trebuchet MS"/>
            </a:rPr>
            <a:t>No</a:t>
          </a:r>
          <a:r>
            <a:rPr sz="900" b="1">
              <a:solidFill>
                <a:srgbClr val="2E463A"/>
              </a:solidFill>
              <a:latin typeface="Trebuchet MS"/>
              <a:cs typeface="Trebuchet MS"/>
            </a:rPr>
            <a:t>.</a:t>
          </a:r>
          <a:endParaRPr sz="900"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485825</xdr:colOff>
      <xdr:row>0</xdr:row>
      <xdr:rowOff>108547</xdr:rowOff>
    </xdr:from>
    <xdr:to>
      <xdr:col>8</xdr:col>
      <xdr:colOff>222300</xdr:colOff>
      <xdr:row>2</xdr:row>
      <xdr:rowOff>12027</xdr:rowOff>
    </xdr:to>
    <xdr:sp macro="" textlink="">
      <xdr:nvSpPr>
        <xdr:cNvPr id="50" name="object 86">
          <a:extLst>
            <a:ext uri="{FF2B5EF4-FFF2-40B4-BE49-F238E27FC236}">
              <a16:creationId xmlns:a16="http://schemas.microsoft.com/office/drawing/2014/main" id="{D65919FD-F80A-4805-8139-B074B44AFB8B}"/>
            </a:ext>
          </a:extLst>
        </xdr:cNvPr>
        <xdr:cNvSpPr txBox="1"/>
      </xdr:nvSpPr>
      <xdr:spPr>
        <a:xfrm>
          <a:off x="4448225" y="108547"/>
          <a:ext cx="2113915" cy="269240"/>
        </a:xfrm>
        <a:prstGeom prst="rect">
          <a:avLst/>
        </a:prstGeom>
        <a:solidFill>
          <a:srgbClr val="7BAE5F"/>
        </a:solidFill>
      </xdr:spPr>
      <xdr:txBody>
        <a:bodyPr vert="horz" wrap="square" lIns="0" tIns="679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577850">
            <a:lnSpc>
              <a:spcPct val="100000"/>
            </a:lnSpc>
            <a:spcBef>
              <a:spcPts val="535"/>
            </a:spcBef>
          </a:pPr>
          <a:r>
            <a:rPr sz="1000" b="1" spc="5">
              <a:solidFill>
                <a:srgbClr val="FFFFFF"/>
              </a:solidFill>
              <a:latin typeface="Trebuchet MS"/>
              <a:cs typeface="Trebuchet MS"/>
            </a:rPr>
            <a:t>!FELICIDADES¡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>
    <xdr:from>
      <xdr:col>4</xdr:col>
      <xdr:colOff>738461</xdr:colOff>
      <xdr:row>3</xdr:row>
      <xdr:rowOff>103979</xdr:rowOff>
    </xdr:from>
    <xdr:to>
      <xdr:col>7</xdr:col>
      <xdr:colOff>393021</xdr:colOff>
      <xdr:row>5</xdr:row>
      <xdr:rowOff>100804</xdr:rowOff>
    </xdr:to>
    <xdr:sp macro="" textlink="">
      <xdr:nvSpPr>
        <xdr:cNvPr id="51" name="object 87">
          <a:extLst>
            <a:ext uri="{FF2B5EF4-FFF2-40B4-BE49-F238E27FC236}">
              <a16:creationId xmlns:a16="http://schemas.microsoft.com/office/drawing/2014/main" id="{97B661E2-E293-4BF4-8DCB-05209EEFE421}"/>
            </a:ext>
          </a:extLst>
        </xdr:cNvPr>
        <xdr:cNvSpPr txBox="1"/>
      </xdr:nvSpPr>
      <xdr:spPr>
        <a:xfrm>
          <a:off x="3908381" y="652619"/>
          <a:ext cx="2032000" cy="362585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R="5080">
            <a:lnSpc>
              <a:spcPct val="115500"/>
            </a:lnSpc>
            <a:spcBef>
              <a:spcPts val="95"/>
            </a:spcBef>
          </a:pP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Eres parte del cambio </a:t>
          </a:r>
          <a:r>
            <a:rPr sz="1000" b="1" spc="15">
              <a:solidFill>
                <a:srgbClr val="2E463A"/>
              </a:solidFill>
              <a:latin typeface="Trebuchet MS"/>
              <a:cs typeface="Trebuchet MS"/>
            </a:rPr>
            <a:t>en </a:t>
          </a: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la </a:t>
          </a:r>
          <a:r>
            <a:rPr sz="1000" b="1" spc="1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generación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de</a:t>
          </a:r>
          <a:r>
            <a:rPr sz="1000" b="1" spc="-1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energías</a:t>
          </a:r>
          <a:r>
            <a:rPr sz="10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5">
              <a:solidFill>
                <a:srgbClr val="2E463A"/>
              </a:solidFill>
              <a:latin typeface="Trebuchet MS"/>
              <a:cs typeface="Trebuchet MS"/>
            </a:rPr>
            <a:t>limpias.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 editAs="oneCell">
    <xdr:from>
      <xdr:col>4</xdr:col>
      <xdr:colOff>713752</xdr:colOff>
      <xdr:row>9</xdr:row>
      <xdr:rowOff>162468</xdr:rowOff>
    </xdr:from>
    <xdr:to>
      <xdr:col>5</xdr:col>
      <xdr:colOff>540800</xdr:colOff>
      <xdr:row>12</xdr:row>
      <xdr:rowOff>149396</xdr:rowOff>
    </xdr:to>
    <xdr:pic>
      <xdr:nvPicPr>
        <xdr:cNvPr id="52" name="object 90">
          <a:extLst>
            <a:ext uri="{FF2B5EF4-FFF2-40B4-BE49-F238E27FC236}">
              <a16:creationId xmlns:a16="http://schemas.microsoft.com/office/drawing/2014/main" id="{4789F4FA-9C67-485A-9E18-D2835CE13547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883672" y="1808388"/>
          <a:ext cx="617623" cy="535568"/>
        </a:xfrm>
        <a:prstGeom prst="rect">
          <a:avLst/>
        </a:prstGeom>
      </xdr:spPr>
    </xdr:pic>
    <xdr:clientData/>
  </xdr:twoCellAnchor>
  <xdr:twoCellAnchor editAs="oneCell">
    <xdr:from>
      <xdr:col>7</xdr:col>
      <xdr:colOff>687114</xdr:colOff>
      <xdr:row>23</xdr:row>
      <xdr:rowOff>20436</xdr:rowOff>
    </xdr:from>
    <xdr:to>
      <xdr:col>8</xdr:col>
      <xdr:colOff>572436</xdr:colOff>
      <xdr:row>26</xdr:row>
      <xdr:rowOff>1870</xdr:rowOff>
    </xdr:to>
    <xdr:pic>
      <xdr:nvPicPr>
        <xdr:cNvPr id="53" name="object 91">
          <a:extLst>
            <a:ext uri="{FF2B5EF4-FFF2-40B4-BE49-F238E27FC236}">
              <a16:creationId xmlns:a16="http://schemas.microsoft.com/office/drawing/2014/main" id="{18DD54D2-63F4-41C8-B892-0A6A1C5B5699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234474" y="4226676"/>
          <a:ext cx="677802" cy="530074"/>
        </a:xfrm>
        <a:prstGeom prst="rect">
          <a:avLst/>
        </a:prstGeom>
      </xdr:spPr>
    </xdr:pic>
    <xdr:clientData/>
  </xdr:twoCellAnchor>
  <xdr:twoCellAnchor editAs="oneCell">
    <xdr:from>
      <xdr:col>0</xdr:col>
      <xdr:colOff>32905</xdr:colOff>
      <xdr:row>0</xdr:row>
      <xdr:rowOff>95781</xdr:rowOff>
    </xdr:from>
    <xdr:to>
      <xdr:col>4</xdr:col>
      <xdr:colOff>359281</xdr:colOff>
      <xdr:row>6</xdr:row>
      <xdr:rowOff>44832</xdr:rowOff>
    </xdr:to>
    <xdr:pic>
      <xdr:nvPicPr>
        <xdr:cNvPr id="54" name="object 92">
          <a:extLst>
            <a:ext uri="{FF2B5EF4-FFF2-40B4-BE49-F238E27FC236}">
              <a16:creationId xmlns:a16="http://schemas.microsoft.com/office/drawing/2014/main" id="{8683BEEC-5165-4AC9-8736-01F73D373EFD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32905" y="95781"/>
          <a:ext cx="3492486" cy="1044426"/>
        </a:xfrm>
        <a:prstGeom prst="rect">
          <a:avLst/>
        </a:prstGeom>
      </xdr:spPr>
    </xdr:pic>
    <xdr:clientData/>
  </xdr:twoCellAnchor>
  <xdr:twoCellAnchor>
    <xdr:from>
      <xdr:col>5</xdr:col>
      <xdr:colOff>649880</xdr:colOff>
      <xdr:row>10</xdr:row>
      <xdr:rowOff>89533</xdr:rowOff>
    </xdr:from>
    <xdr:to>
      <xdr:col>8</xdr:col>
      <xdr:colOff>451760</xdr:colOff>
      <xdr:row>12</xdr:row>
      <xdr:rowOff>86993</xdr:rowOff>
    </xdr:to>
    <xdr:sp macro="" textlink="">
      <xdr:nvSpPr>
        <xdr:cNvPr id="55" name="object 93">
          <a:extLst>
            <a:ext uri="{FF2B5EF4-FFF2-40B4-BE49-F238E27FC236}">
              <a16:creationId xmlns:a16="http://schemas.microsoft.com/office/drawing/2014/main" id="{DEF2C33A-4EC2-4BB0-AF86-667BCF383A2E}"/>
            </a:ext>
          </a:extLst>
        </xdr:cNvPr>
        <xdr:cNvSpPr txBox="1"/>
      </xdr:nvSpPr>
      <xdr:spPr>
        <a:xfrm>
          <a:off x="4612280" y="1918333"/>
          <a:ext cx="2179320" cy="363220"/>
        </a:xfrm>
        <a:prstGeom prst="rect">
          <a:avLst/>
        </a:prstGeom>
      </xdr:spPr>
      <xdr:txBody>
        <a:bodyPr vert="horz" wrap="square" lIns="0" tIns="1143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R="5080">
            <a:lnSpc>
              <a:spcPct val="115700"/>
            </a:lnSpc>
            <a:spcBef>
              <a:spcPts val="90"/>
            </a:spcBef>
          </a:pP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¡Gracias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por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5">
              <a:solidFill>
                <a:srgbClr val="2E463A"/>
              </a:solidFill>
              <a:latin typeface="Trebuchet MS"/>
              <a:cs typeface="Trebuchet MS"/>
            </a:rPr>
            <a:t>tomar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0">
              <a:solidFill>
                <a:srgbClr val="2E463A"/>
              </a:solidFill>
              <a:latin typeface="Trebuchet MS"/>
              <a:cs typeface="Trebuchet MS"/>
            </a:rPr>
            <a:t>buenas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decisiones! </a:t>
          </a:r>
          <a:r>
            <a:rPr sz="1000" b="1" spc="-29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5">
              <a:solidFill>
                <a:srgbClr val="2E463A"/>
              </a:solidFill>
              <a:latin typeface="Trebuchet MS"/>
              <a:cs typeface="Trebuchet MS"/>
            </a:rPr>
            <a:t>E</a:t>
          </a:r>
          <a:r>
            <a:rPr sz="1000" b="1" spc="-40">
              <a:solidFill>
                <a:srgbClr val="2E463A"/>
              </a:solidFill>
              <a:latin typeface="Trebuchet MS"/>
              <a:cs typeface="Trebuchet MS"/>
            </a:rPr>
            <a:t>sto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se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0">
              <a:solidFill>
                <a:srgbClr val="2E463A"/>
              </a:solidFill>
              <a:latin typeface="Trebuchet MS"/>
              <a:cs typeface="Trebuchet MS"/>
            </a:rPr>
            <a:t>refl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eja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0">
              <a:solidFill>
                <a:srgbClr val="2E463A"/>
              </a:solidFill>
              <a:latin typeface="Trebuchet MS"/>
              <a:cs typeface="Trebuchet MS"/>
            </a:rPr>
            <a:t>en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0">
              <a:solidFill>
                <a:srgbClr val="2E463A"/>
              </a:solidFill>
              <a:latin typeface="Trebuchet MS"/>
              <a:cs typeface="Trebuchet MS"/>
            </a:rPr>
            <a:t>t</a:t>
          </a:r>
          <a:r>
            <a:rPr sz="1000" b="1" spc="-50">
              <a:solidFill>
                <a:srgbClr val="2E463A"/>
              </a:solidFill>
              <a:latin typeface="Trebuchet MS"/>
              <a:cs typeface="Trebuchet MS"/>
            </a:rPr>
            <a:t>u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0">
              <a:solidFill>
                <a:srgbClr val="2E463A"/>
              </a:solidFill>
              <a:latin typeface="Trebuchet MS"/>
              <a:cs typeface="Trebuchet MS"/>
            </a:rPr>
            <a:t>ahor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r</a:t>
          </a:r>
          <a:r>
            <a:rPr sz="1000" b="1" spc="-40">
              <a:solidFill>
                <a:srgbClr val="2E463A"/>
              </a:solidFill>
              <a:latin typeface="Trebuchet MS"/>
              <a:cs typeface="Trebuchet MS"/>
            </a:rPr>
            <a:t>o.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>
    <xdr:from>
      <xdr:col>4</xdr:col>
      <xdr:colOff>676060</xdr:colOff>
      <xdr:row>22</xdr:row>
      <xdr:rowOff>162671</xdr:rowOff>
    </xdr:from>
    <xdr:to>
      <xdr:col>7</xdr:col>
      <xdr:colOff>390310</xdr:colOff>
      <xdr:row>26</xdr:row>
      <xdr:rowOff>106791</xdr:rowOff>
    </xdr:to>
    <xdr:sp macro="" textlink="">
      <xdr:nvSpPr>
        <xdr:cNvPr id="56" name="object 94">
          <a:extLst>
            <a:ext uri="{FF2B5EF4-FFF2-40B4-BE49-F238E27FC236}">
              <a16:creationId xmlns:a16="http://schemas.microsoft.com/office/drawing/2014/main" id="{BA7ED1AF-271B-4617-B09F-CB69463171FD}"/>
            </a:ext>
          </a:extLst>
        </xdr:cNvPr>
        <xdr:cNvSpPr txBox="1"/>
      </xdr:nvSpPr>
      <xdr:spPr>
        <a:xfrm>
          <a:off x="3845980" y="4186031"/>
          <a:ext cx="2091690" cy="675640"/>
        </a:xfrm>
        <a:prstGeom prst="rect">
          <a:avLst/>
        </a:prstGeom>
      </xdr:spPr>
      <xdr:txBody>
        <a:bodyPr vert="horz" wrap="square" lIns="0" tIns="3048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240"/>
            </a:spcBef>
          </a:pP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¡Y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eso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no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es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todo!</a:t>
          </a:r>
          <a:endParaRPr sz="1000">
            <a:latin typeface="Trebuchet MS"/>
            <a:cs typeface="Trebuchet MS"/>
          </a:endParaRPr>
        </a:p>
        <a:p>
          <a:pPr marR="5080">
            <a:lnSpc>
              <a:spcPct val="111600"/>
            </a:lnSpc>
          </a:pP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Con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esta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energía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amigable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 ahorras </a:t>
          </a:r>
          <a:r>
            <a:rPr sz="1000" b="1" spc="-28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y</a:t>
          </a:r>
          <a:r>
            <a:rPr sz="10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haces</a:t>
          </a:r>
          <a:r>
            <a:rPr sz="10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parte</a:t>
          </a:r>
          <a:r>
            <a:rPr sz="10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de</a:t>
          </a:r>
          <a:r>
            <a:rPr sz="10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la</a:t>
          </a:r>
          <a:r>
            <a:rPr sz="10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nueva</a:t>
          </a:r>
          <a:r>
            <a:rPr sz="10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era</a:t>
          </a:r>
          <a:r>
            <a:rPr sz="10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de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 la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 sostenibilidad.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 editAs="oneCell">
    <xdr:from>
      <xdr:col>7</xdr:col>
      <xdr:colOff>707897</xdr:colOff>
      <xdr:row>3</xdr:row>
      <xdr:rowOff>36284</xdr:rowOff>
    </xdr:from>
    <xdr:to>
      <xdr:col>8</xdr:col>
      <xdr:colOff>578651</xdr:colOff>
      <xdr:row>6</xdr:row>
      <xdr:rowOff>82005</xdr:rowOff>
    </xdr:to>
    <xdr:pic>
      <xdr:nvPicPr>
        <xdr:cNvPr id="57" name="Imagen 56">
          <a:extLst>
            <a:ext uri="{FF2B5EF4-FFF2-40B4-BE49-F238E27FC236}">
              <a16:creationId xmlns:a16="http://schemas.microsoft.com/office/drawing/2014/main" id="{EDB2F824-081D-4F6E-8B01-72C2354B0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5257" y="584924"/>
          <a:ext cx="661329" cy="592456"/>
        </a:xfrm>
        <a:prstGeom prst="rect">
          <a:avLst/>
        </a:prstGeom>
      </xdr:spPr>
    </xdr:pic>
    <xdr:clientData/>
  </xdr:twoCellAnchor>
  <xdr:twoCellAnchor>
    <xdr:from>
      <xdr:col>0</xdr:col>
      <xdr:colOff>95415</xdr:colOff>
      <xdr:row>15</xdr:row>
      <xdr:rowOff>176281</xdr:rowOff>
    </xdr:from>
    <xdr:to>
      <xdr:col>4</xdr:col>
      <xdr:colOff>439143</xdr:colOff>
      <xdr:row>25</xdr:row>
      <xdr:rowOff>21981</xdr:rowOff>
    </xdr:to>
    <xdr:graphicFrame macro="">
      <xdr:nvGraphicFramePr>
        <xdr:cNvPr id="58" name="Gráfico 1">
          <a:extLst>
            <a:ext uri="{FF2B5EF4-FFF2-40B4-BE49-F238E27FC236}">
              <a16:creationId xmlns:a16="http://schemas.microsoft.com/office/drawing/2014/main" id="{80852E1B-4074-4ED5-B353-F959EE8441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168520</xdr:colOff>
      <xdr:row>8</xdr:row>
      <xdr:rowOff>21640</xdr:rowOff>
    </xdr:from>
    <xdr:to>
      <xdr:col>6</xdr:col>
      <xdr:colOff>608136</xdr:colOff>
      <xdr:row>9</xdr:row>
      <xdr:rowOff>3677</xdr:rowOff>
    </xdr:to>
    <xdr:sp macro="" textlink="$O$65">
      <xdr:nvSpPr>
        <xdr:cNvPr id="59" name="object 49">
          <a:extLst>
            <a:ext uri="{FF2B5EF4-FFF2-40B4-BE49-F238E27FC236}">
              <a16:creationId xmlns:a16="http://schemas.microsoft.com/office/drawing/2014/main" id="{3779333A-3737-4D53-9FE2-507D4F72D24F}"/>
            </a:ext>
          </a:extLst>
        </xdr:cNvPr>
        <xdr:cNvSpPr txBox="1"/>
      </xdr:nvSpPr>
      <xdr:spPr>
        <a:xfrm>
          <a:off x="3985524" y="1534434"/>
          <a:ext cx="1203016" cy="171136"/>
        </a:xfrm>
        <a:prstGeom prst="rect">
          <a:avLst/>
        </a:prstGeom>
      </xdr:spPr>
      <xdr:txBody>
        <a:bodyPr vert="horz" wrap="square" lIns="0" tIns="14604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ct val="100000"/>
            </a:lnSpc>
            <a:spcBef>
              <a:spcPts val="114"/>
            </a:spcBef>
          </a:pPr>
          <a:fld id="{12838CD9-3314-401F-93B9-924BFB07EAB0}" type="TxLink">
            <a:rPr lang="en-US" sz="1050" b="1" i="0" u="none" strike="noStrike" spc="-70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pPr algn="ctr">
              <a:lnSpc>
                <a:spcPct val="100000"/>
              </a:lnSpc>
              <a:spcBef>
                <a:spcPts val="114"/>
              </a:spcBef>
            </a:pPr>
            <a:t>$ 94.586.268.511,74</a:t>
          </a:fld>
          <a:endParaRPr sz="1050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4</xdr:col>
      <xdr:colOff>661768</xdr:colOff>
      <xdr:row>13</xdr:row>
      <xdr:rowOff>22860</xdr:rowOff>
    </xdr:from>
    <xdr:to>
      <xdr:col>8</xdr:col>
      <xdr:colOff>728382</xdr:colOff>
      <xdr:row>23</xdr:row>
      <xdr:rowOff>38099</xdr:rowOff>
    </xdr:to>
    <xdr:graphicFrame macro="">
      <xdr:nvGraphicFramePr>
        <xdr:cNvPr id="60" name="Gráfico 6">
          <a:extLst>
            <a:ext uri="{FF2B5EF4-FFF2-40B4-BE49-F238E27FC236}">
              <a16:creationId xmlns:a16="http://schemas.microsoft.com/office/drawing/2014/main" id="{77E3F195-1EBA-4229-982F-EC5A57D400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19050</xdr:colOff>
      <xdr:row>8</xdr:row>
      <xdr:rowOff>107950</xdr:rowOff>
    </xdr:from>
    <xdr:to>
      <xdr:col>3</xdr:col>
      <xdr:colOff>44450</xdr:colOff>
      <xdr:row>9</xdr:row>
      <xdr:rowOff>146050</xdr:rowOff>
    </xdr:to>
    <xdr:sp macro="" textlink="$O$52">
      <xdr:nvSpPr>
        <xdr:cNvPr id="66" name="CuadroTexto 65">
          <a:extLst>
            <a:ext uri="{FF2B5EF4-FFF2-40B4-BE49-F238E27FC236}">
              <a16:creationId xmlns:a16="http://schemas.microsoft.com/office/drawing/2014/main" id="{238C673A-8C5E-4423-A4F2-5398B33F50BF}"/>
            </a:ext>
          </a:extLst>
        </xdr:cNvPr>
        <xdr:cNvSpPr txBox="1"/>
      </xdr:nvSpPr>
      <xdr:spPr>
        <a:xfrm>
          <a:off x="1543050" y="1631950"/>
          <a:ext cx="7874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D0D4210-9384-4900-BDCD-377D5E1BFE3F}" type="TxLink">
            <a:rPr lang="en-US" sz="850" b="1" i="0" u="none" strike="noStrike" kern="1200">
              <a:solidFill>
                <a:srgbClr val="273C18"/>
              </a:solidFill>
              <a:latin typeface="Trebuchet MS"/>
              <a:ea typeface="+mn-ea"/>
              <a:cs typeface="Trebuchet MS"/>
            </a:rPr>
            <a:pPr/>
            <a:t>1/01/2023</a:t>
          </a:fld>
          <a:endParaRPr lang="es-CO" sz="850" b="1" kern="1200">
            <a:solidFill>
              <a:srgbClr val="273C18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2</xdr:col>
      <xdr:colOff>717550</xdr:colOff>
      <xdr:row>8</xdr:row>
      <xdr:rowOff>107950</xdr:rowOff>
    </xdr:from>
    <xdr:to>
      <xdr:col>3</xdr:col>
      <xdr:colOff>742950</xdr:colOff>
      <xdr:row>9</xdr:row>
      <xdr:rowOff>146050</xdr:rowOff>
    </xdr:to>
    <xdr:sp macro="" textlink="$O$53">
      <xdr:nvSpPr>
        <xdr:cNvPr id="67" name="CuadroTexto 66">
          <a:extLst>
            <a:ext uri="{FF2B5EF4-FFF2-40B4-BE49-F238E27FC236}">
              <a16:creationId xmlns:a16="http://schemas.microsoft.com/office/drawing/2014/main" id="{2293288A-450F-46B9-A326-3B60CE41650B}"/>
            </a:ext>
          </a:extLst>
        </xdr:cNvPr>
        <xdr:cNvSpPr txBox="1"/>
      </xdr:nvSpPr>
      <xdr:spPr>
        <a:xfrm>
          <a:off x="2241550" y="1631950"/>
          <a:ext cx="7874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8DB531B-FD8A-447D-8DE6-9C0DD001671E}" type="TxLink">
            <a:rPr lang="en-US" sz="850" b="1" i="0" u="none" strike="noStrike" kern="1200">
              <a:solidFill>
                <a:srgbClr val="273C18"/>
              </a:solidFill>
              <a:latin typeface="Trebuchet MS"/>
              <a:ea typeface="+mn-ea"/>
              <a:cs typeface="Trebuchet MS"/>
            </a:rPr>
            <a:pPr/>
            <a:t>31/01/2023</a:t>
          </a:fld>
          <a:endParaRPr lang="es-CO" sz="850" b="1" kern="1200">
            <a:solidFill>
              <a:srgbClr val="22362C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2</xdr:col>
      <xdr:colOff>641350</xdr:colOff>
      <xdr:row>8</xdr:row>
      <xdr:rowOff>107950</xdr:rowOff>
    </xdr:from>
    <xdr:to>
      <xdr:col>3</xdr:col>
      <xdr:colOff>76200</xdr:colOff>
      <xdr:row>9</xdr:row>
      <xdr:rowOff>146050</xdr:rowOff>
    </xdr:to>
    <xdr:sp macro="" textlink="">
      <xdr:nvSpPr>
        <xdr:cNvPr id="68" name="CuadroTexto 67">
          <a:extLst>
            <a:ext uri="{FF2B5EF4-FFF2-40B4-BE49-F238E27FC236}">
              <a16:creationId xmlns:a16="http://schemas.microsoft.com/office/drawing/2014/main" id="{CDB606AC-8CA2-44D3-AA71-152EBF68FB28}"/>
            </a:ext>
          </a:extLst>
        </xdr:cNvPr>
        <xdr:cNvSpPr txBox="1"/>
      </xdr:nvSpPr>
      <xdr:spPr>
        <a:xfrm>
          <a:off x="2165350" y="1631950"/>
          <a:ext cx="19685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850" b="1" kern="1200">
              <a:solidFill>
                <a:srgbClr val="22362C"/>
              </a:solidFill>
              <a:latin typeface="Trebuchet MS"/>
              <a:ea typeface="+mn-ea"/>
              <a:cs typeface="Trebuchet MS"/>
            </a:rPr>
            <a:t>-</a:t>
          </a:r>
        </a:p>
      </xdr:txBody>
    </xdr:sp>
    <xdr:clientData/>
  </xdr:twoCellAnchor>
  <xdr:twoCellAnchor>
    <xdr:from>
      <xdr:col>1</xdr:col>
      <xdr:colOff>368300</xdr:colOff>
      <xdr:row>9</xdr:row>
      <xdr:rowOff>152400</xdr:rowOff>
    </xdr:from>
    <xdr:to>
      <xdr:col>1</xdr:col>
      <xdr:colOff>717550</xdr:colOff>
      <xdr:row>11</xdr:row>
      <xdr:rowOff>0</xdr:rowOff>
    </xdr:to>
    <xdr:sp macro="" textlink="$O$54">
      <xdr:nvSpPr>
        <xdr:cNvPr id="69" name="CuadroTexto 68">
          <a:extLst>
            <a:ext uri="{FF2B5EF4-FFF2-40B4-BE49-F238E27FC236}">
              <a16:creationId xmlns:a16="http://schemas.microsoft.com/office/drawing/2014/main" id="{31F18C08-70A8-47D8-AB6C-602D128F188C}"/>
            </a:ext>
          </a:extLst>
        </xdr:cNvPr>
        <xdr:cNvSpPr txBox="1"/>
      </xdr:nvSpPr>
      <xdr:spPr>
        <a:xfrm>
          <a:off x="1130300" y="1866900"/>
          <a:ext cx="34925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CBA6D9C-7027-4966-A030-5359E79EC640}" type="TxLink">
            <a:rPr lang="en-US" sz="850" b="1" i="0" u="none" strike="noStrike" kern="1200">
              <a:solidFill>
                <a:srgbClr val="273C18"/>
              </a:solidFill>
              <a:latin typeface="Trebuchet MS"/>
              <a:ea typeface="+mn-ea"/>
            </a:rPr>
            <a:pPr/>
            <a:t>30</a:t>
          </a:fld>
          <a:endParaRPr lang="en-US" sz="850" b="0" i="0" u="none" strike="noStrike" kern="1200">
            <a:solidFill>
              <a:srgbClr val="273C18"/>
            </a:solidFill>
            <a:latin typeface="Trebuchet MS"/>
            <a:ea typeface="+mn-ea"/>
          </a:endParaRPr>
        </a:p>
      </xdr:txBody>
    </xdr:sp>
    <xdr:clientData/>
  </xdr:twoCellAnchor>
  <xdr:twoCellAnchor>
    <xdr:from>
      <xdr:col>0</xdr:col>
      <xdr:colOff>406213</xdr:colOff>
      <xdr:row>13</xdr:row>
      <xdr:rowOff>42023</xdr:rowOff>
    </xdr:from>
    <xdr:to>
      <xdr:col>1</xdr:col>
      <xdr:colOff>672353</xdr:colOff>
      <xdr:row>14</xdr:row>
      <xdr:rowOff>119061</xdr:rowOff>
    </xdr:to>
    <xdr:sp macro="" textlink="$O$55">
      <xdr:nvSpPr>
        <xdr:cNvPr id="70" name="CuadroTexto 69">
          <a:extLst>
            <a:ext uri="{FF2B5EF4-FFF2-40B4-BE49-F238E27FC236}">
              <a16:creationId xmlns:a16="http://schemas.microsoft.com/office/drawing/2014/main" id="{A97202D2-EA72-4B1C-A240-9FC7B6E7A3C3}"/>
            </a:ext>
          </a:extLst>
        </xdr:cNvPr>
        <xdr:cNvSpPr txBox="1"/>
      </xdr:nvSpPr>
      <xdr:spPr>
        <a:xfrm>
          <a:off x="406213" y="2500313"/>
          <a:ext cx="1029541" cy="266138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DF14428-384D-4ED3-A528-8040390FD523}" type="TxLink">
            <a:rPr lang="en-US" sz="1100" b="1" i="0" u="none" strike="noStrike" kern="1200">
              <a:solidFill>
                <a:schemeClr val="accent6">
                  <a:lumMod val="50000"/>
                </a:schemeClr>
              </a:solidFill>
              <a:latin typeface="Trebuchet MS"/>
              <a:ea typeface="+mn-ea"/>
              <a:cs typeface="Trebuchet MS"/>
            </a:rPr>
            <a:pPr algn="ctr"/>
            <a:t>15.465.237,85</a:t>
          </a:fld>
          <a:endParaRPr lang="es-CO" sz="1100" b="1" kern="1200">
            <a:solidFill>
              <a:schemeClr val="accent6">
                <a:lumMod val="50000"/>
              </a:schemeClr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2</xdr:col>
      <xdr:colOff>217113</xdr:colOff>
      <xdr:row>13</xdr:row>
      <xdr:rowOff>42023</xdr:rowOff>
    </xdr:from>
    <xdr:to>
      <xdr:col>3</xdr:col>
      <xdr:colOff>483253</xdr:colOff>
      <xdr:row>14</xdr:row>
      <xdr:rowOff>133070</xdr:rowOff>
    </xdr:to>
    <xdr:sp macro="" textlink="$O$56">
      <xdr:nvSpPr>
        <xdr:cNvPr id="71" name="CuadroTexto 70">
          <a:extLst>
            <a:ext uri="{FF2B5EF4-FFF2-40B4-BE49-F238E27FC236}">
              <a16:creationId xmlns:a16="http://schemas.microsoft.com/office/drawing/2014/main" id="{A650A795-07CC-419B-B5F1-2B00257B8207}"/>
            </a:ext>
          </a:extLst>
        </xdr:cNvPr>
        <xdr:cNvSpPr txBox="1"/>
      </xdr:nvSpPr>
      <xdr:spPr>
        <a:xfrm>
          <a:off x="1743914" y="2500313"/>
          <a:ext cx="1029541" cy="28014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EA563E46-0460-4129-882E-A6AC54FDC2EE}" type="TxLink">
            <a:rPr lang="en-US" sz="1100" b="1" i="0" u="none" strike="noStrike" kern="1200">
              <a:solidFill>
                <a:schemeClr val="accent6">
                  <a:lumMod val="50000"/>
                </a:schemeClr>
              </a:solidFill>
              <a:latin typeface="Trebuchet MS"/>
              <a:ea typeface="+mn-ea"/>
              <a:cs typeface="Trebuchet MS"/>
            </a:rPr>
            <a:pPr algn="ctr"/>
            <a:t>982.536,46</a:t>
          </a:fld>
          <a:endParaRPr lang="es-CO" sz="1100" b="1" kern="1200">
            <a:solidFill>
              <a:schemeClr val="accent6">
                <a:lumMod val="50000"/>
              </a:schemeClr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1</xdr:col>
      <xdr:colOff>81590</xdr:colOff>
      <xdr:row>27</xdr:row>
      <xdr:rowOff>178385</xdr:rowOff>
    </xdr:from>
    <xdr:to>
      <xdr:col>2</xdr:col>
      <xdr:colOff>133070</xdr:colOff>
      <xdr:row>28</xdr:row>
      <xdr:rowOff>154203</xdr:rowOff>
    </xdr:to>
    <xdr:sp macro="" textlink="$O$58">
      <xdr:nvSpPr>
        <xdr:cNvPr id="73" name="object 25">
          <a:extLst>
            <a:ext uri="{FF2B5EF4-FFF2-40B4-BE49-F238E27FC236}">
              <a16:creationId xmlns:a16="http://schemas.microsoft.com/office/drawing/2014/main" id="{F195C393-2801-4845-8748-C6D5BF6697D5}"/>
            </a:ext>
          </a:extLst>
        </xdr:cNvPr>
        <xdr:cNvSpPr txBox="1"/>
      </xdr:nvSpPr>
      <xdr:spPr>
        <a:xfrm>
          <a:off x="844991" y="5284065"/>
          <a:ext cx="814880" cy="164917"/>
        </a:xfrm>
        <a:prstGeom prst="rect">
          <a:avLst/>
        </a:prstGeom>
      </xdr:spPr>
      <xdr:txBody>
        <a:bodyPr vert="horz" wrap="square" lIns="0" tIns="158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25"/>
            </a:spcBef>
          </a:pPr>
          <a:fld id="{17023446-F5C6-413E-B692-31120AF3F873}" type="TxLink">
            <a:rPr lang="en-US" sz="1000" b="1" i="0" u="none" strike="noStrike" spc="1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pPr marL="12700">
              <a:lnSpc>
                <a:spcPct val="100000"/>
              </a:lnSpc>
              <a:spcBef>
                <a:spcPts val="125"/>
              </a:spcBef>
            </a:pPr>
            <a:t>1.355,0  </a:t>
          </a:fld>
          <a:endParaRPr sz="1000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1</xdr:col>
      <xdr:colOff>273143</xdr:colOff>
      <xdr:row>28</xdr:row>
      <xdr:rowOff>155370</xdr:rowOff>
    </xdr:from>
    <xdr:to>
      <xdr:col>2</xdr:col>
      <xdr:colOff>742391</xdr:colOff>
      <xdr:row>29</xdr:row>
      <xdr:rowOff>133070</xdr:rowOff>
    </xdr:to>
    <xdr:sp macro="" textlink="$O$59">
      <xdr:nvSpPr>
        <xdr:cNvPr id="74" name="object 25">
          <a:extLst>
            <a:ext uri="{FF2B5EF4-FFF2-40B4-BE49-F238E27FC236}">
              <a16:creationId xmlns:a16="http://schemas.microsoft.com/office/drawing/2014/main" id="{10687473-D394-43D0-9CA1-7295380040B8}"/>
            </a:ext>
          </a:extLst>
        </xdr:cNvPr>
        <xdr:cNvSpPr txBox="1"/>
      </xdr:nvSpPr>
      <xdr:spPr>
        <a:xfrm>
          <a:off x="1036544" y="5450149"/>
          <a:ext cx="1232648" cy="166800"/>
        </a:xfrm>
        <a:prstGeom prst="rect">
          <a:avLst/>
        </a:prstGeom>
      </xdr:spPr>
      <xdr:txBody>
        <a:bodyPr vert="horz" wrap="square" lIns="0" tIns="158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25"/>
            </a:spcBef>
          </a:pPr>
          <a:fld id="{6959A475-0702-44C4-8D11-E598F37C8F87}" type="TxLink">
            <a:rPr lang="en-US" sz="1000" b="1" i="0" u="none" strike="noStrike" spc="1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pPr marL="12700">
              <a:lnSpc>
                <a:spcPct val="100000"/>
              </a:lnSpc>
              <a:spcBef>
                <a:spcPts val="125"/>
              </a:spcBef>
            </a:pPr>
            <a:t>$ 352,59</a:t>
          </a:fld>
          <a:endParaRPr sz="1000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700368</xdr:colOff>
      <xdr:row>31</xdr:row>
      <xdr:rowOff>14006</xdr:rowOff>
    </xdr:from>
    <xdr:to>
      <xdr:col>2</xdr:col>
      <xdr:colOff>532280</xdr:colOff>
      <xdr:row>31</xdr:row>
      <xdr:rowOff>182095</xdr:rowOff>
    </xdr:to>
    <xdr:sp macro="" textlink="$O$60">
      <xdr:nvSpPr>
        <xdr:cNvPr id="75" name="object 27">
          <a:extLst>
            <a:ext uri="{FF2B5EF4-FFF2-40B4-BE49-F238E27FC236}">
              <a16:creationId xmlns:a16="http://schemas.microsoft.com/office/drawing/2014/main" id="{48634252-53D2-4E05-8F25-F0F7D7C6ADCB}"/>
            </a:ext>
          </a:extLst>
        </xdr:cNvPr>
        <xdr:cNvSpPr txBox="1"/>
      </xdr:nvSpPr>
      <xdr:spPr>
        <a:xfrm>
          <a:off x="700368" y="5876083"/>
          <a:ext cx="1358713" cy="16808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square" lIns="0" tIns="6286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54305">
            <a:lnSpc>
              <a:spcPct val="100000"/>
            </a:lnSpc>
            <a:spcBef>
              <a:spcPts val="495"/>
            </a:spcBef>
            <a:tabLst>
              <a:tab pos="936625" algn="l"/>
            </a:tabLst>
          </a:pPr>
          <a:fld id="{30B71822-35BB-4042-9D17-AB03D63E4A78}" type="TxLink">
            <a:rPr lang="en-US" sz="1100" b="1" i="0" u="none" strike="noStrike" kern="1200" spc="35">
              <a:solidFill>
                <a:srgbClr val="2E463A"/>
              </a:solidFill>
              <a:latin typeface="Trebuchet MS"/>
              <a:ea typeface="+mn-ea"/>
              <a:cs typeface="Trebuchet MS"/>
            </a:rPr>
            <a:pPr marL="154305">
              <a:lnSpc>
                <a:spcPct val="100000"/>
              </a:lnSpc>
              <a:spcBef>
                <a:spcPts val="495"/>
              </a:spcBef>
              <a:tabLst>
                <a:tab pos="936625" algn="l"/>
              </a:tabLst>
            </a:pPr>
            <a:t>$ 5.514.985,54</a:t>
          </a:fld>
          <a:endParaRPr sz="1100" b="1" kern="1200" spc="35">
            <a:solidFill>
              <a:srgbClr val="2E463A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2</xdr:col>
      <xdr:colOff>567298</xdr:colOff>
      <xdr:row>31</xdr:row>
      <xdr:rowOff>67161</xdr:rowOff>
    </xdr:from>
    <xdr:to>
      <xdr:col>4</xdr:col>
      <xdr:colOff>383779</xdr:colOff>
      <xdr:row>32</xdr:row>
      <xdr:rowOff>38170</xdr:rowOff>
    </xdr:to>
    <xdr:sp macro="" textlink="$O$61">
      <xdr:nvSpPr>
        <xdr:cNvPr id="76" name="object 28">
          <a:extLst>
            <a:ext uri="{FF2B5EF4-FFF2-40B4-BE49-F238E27FC236}">
              <a16:creationId xmlns:a16="http://schemas.microsoft.com/office/drawing/2014/main" id="{A2271F62-3C0F-4475-8750-7820B765BF06}"/>
            </a:ext>
          </a:extLst>
        </xdr:cNvPr>
        <xdr:cNvSpPr txBox="1"/>
      </xdr:nvSpPr>
      <xdr:spPr>
        <a:xfrm>
          <a:off x="2094099" y="5929238"/>
          <a:ext cx="1343283" cy="160108"/>
        </a:xfrm>
        <a:prstGeom prst="rect">
          <a:avLst/>
        </a:prstGeom>
        <a:noFill/>
      </xdr:spPr>
      <xdr:txBody>
        <a:bodyPr vert="horz" wrap="square" lIns="0" tIns="4064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07010" algn="ctr">
            <a:lnSpc>
              <a:spcPct val="100000"/>
            </a:lnSpc>
            <a:spcBef>
              <a:spcPts val="45"/>
            </a:spcBef>
          </a:pPr>
          <a:fld id="{9B10C0F8-4BB8-4DE4-92A4-4BDE3E02C64A}" type="TxLink">
            <a:rPr lang="en-US" sz="800" b="1" i="0" u="none" strike="noStrike" spc="5">
              <a:solidFill>
                <a:srgbClr val="FFFFFF"/>
              </a:solidFill>
              <a:latin typeface="Trebuchet MS"/>
              <a:cs typeface="Trebuchet MS"/>
            </a:rPr>
            <a:pPr marL="207010" algn="ctr">
              <a:lnSpc>
                <a:spcPct val="100000"/>
              </a:lnSpc>
              <a:spcBef>
                <a:spcPts val="45"/>
              </a:spcBef>
            </a:pPr>
            <a:t>1/02/2023</a:t>
          </a:fld>
          <a:endParaRPr sz="800">
            <a:solidFill>
              <a:schemeClr val="bg1"/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455614</xdr:colOff>
      <xdr:row>39</xdr:row>
      <xdr:rowOff>161817</xdr:rowOff>
    </xdr:from>
    <xdr:to>
      <xdr:col>2</xdr:col>
      <xdr:colOff>29308</xdr:colOff>
      <xdr:row>40</xdr:row>
      <xdr:rowOff>85120</xdr:rowOff>
    </xdr:to>
    <xdr:sp macro="" textlink="$O$62">
      <xdr:nvSpPr>
        <xdr:cNvPr id="77" name="object 85">
          <a:extLst>
            <a:ext uri="{FF2B5EF4-FFF2-40B4-BE49-F238E27FC236}">
              <a16:creationId xmlns:a16="http://schemas.microsoft.com/office/drawing/2014/main" id="{5459E0A1-1D12-4D57-B9EB-C51D8CD24FB1}"/>
            </a:ext>
          </a:extLst>
        </xdr:cNvPr>
        <xdr:cNvSpPr txBox="1"/>
      </xdr:nvSpPr>
      <xdr:spPr>
        <a:xfrm>
          <a:off x="455614" y="7536688"/>
          <a:ext cx="1100495" cy="112403"/>
        </a:xfrm>
        <a:prstGeom prst="rect">
          <a:avLst/>
        </a:prstGeom>
      </xdr:spPr>
      <xdr:txBody>
        <a:bodyPr vert="horz" wrap="square" lIns="0" tIns="63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7305" marR="5080" indent="-6985">
            <a:lnSpc>
              <a:spcPct val="107900"/>
            </a:lnSpc>
            <a:spcBef>
              <a:spcPts val="5"/>
            </a:spcBef>
          </a:pPr>
          <a:fld id="{8DB0A185-E9B7-4FDE-A7CA-9C0EA73ACC5A}" type="TxLink">
            <a:rPr lang="en-US" sz="750" b="1" i="0" u="none" strike="noStrike" spc="-30">
              <a:solidFill>
                <a:srgbClr val="22362C"/>
              </a:solidFill>
              <a:latin typeface="Trebuchet MS"/>
              <a:cs typeface="Trebuchet MS"/>
            </a:rPr>
            <a:pPr marL="27305" marR="5080" indent="-6985">
              <a:lnSpc>
                <a:spcPct val="107900"/>
              </a:lnSpc>
              <a:spcBef>
                <a:spcPts val="5"/>
              </a:spcBef>
            </a:pPr>
            <a:t>2023-01</a:t>
          </a:fld>
          <a:endParaRPr sz="75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660768</xdr:colOff>
      <xdr:row>40</xdr:row>
      <xdr:rowOff>95874</xdr:rowOff>
    </xdr:from>
    <xdr:to>
      <xdr:col>1</xdr:col>
      <xdr:colOff>666751</xdr:colOff>
      <xdr:row>41</xdr:row>
      <xdr:rowOff>26680</xdr:rowOff>
    </xdr:to>
    <xdr:sp macro="" textlink="$O$63">
      <xdr:nvSpPr>
        <xdr:cNvPr id="78" name="object 85">
          <a:extLst>
            <a:ext uri="{FF2B5EF4-FFF2-40B4-BE49-F238E27FC236}">
              <a16:creationId xmlns:a16="http://schemas.microsoft.com/office/drawing/2014/main" id="{A76CF63E-7E34-4CC6-ADF5-F916FC98C34A}"/>
            </a:ext>
          </a:extLst>
        </xdr:cNvPr>
        <xdr:cNvSpPr txBox="1"/>
      </xdr:nvSpPr>
      <xdr:spPr>
        <a:xfrm>
          <a:off x="660768" y="7659845"/>
          <a:ext cx="769384" cy="119905"/>
        </a:xfrm>
        <a:prstGeom prst="rect">
          <a:avLst/>
        </a:prstGeom>
      </xdr:spPr>
      <xdr:txBody>
        <a:bodyPr vert="horz" wrap="square" lIns="0" tIns="63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7305" marR="5080" indent="-6985">
            <a:lnSpc>
              <a:spcPct val="107900"/>
            </a:lnSpc>
            <a:spcBef>
              <a:spcPts val="5"/>
            </a:spcBef>
          </a:pPr>
          <a:fld id="{436373B9-C758-4456-82AA-EA375B322B92}" type="TxLink">
            <a:rPr lang="en-US" sz="800" b="1" i="0" u="none" strike="noStrike" spc="10">
              <a:solidFill>
                <a:srgbClr val="273C18"/>
              </a:solidFill>
              <a:latin typeface="Trebuchet MS"/>
              <a:cs typeface="Trebuchet MS"/>
            </a:rPr>
            <a:pPr marL="27305" marR="5080" indent="-6985">
              <a:lnSpc>
                <a:spcPct val="107900"/>
              </a:lnSpc>
              <a:spcBef>
                <a:spcPts val="5"/>
              </a:spcBef>
            </a:pPr>
            <a:t>FACT_001</a:t>
          </a:fld>
          <a:endParaRPr sz="90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747720</xdr:colOff>
      <xdr:row>41</xdr:row>
      <xdr:rowOff>43939</xdr:rowOff>
    </xdr:from>
    <xdr:to>
      <xdr:col>2</xdr:col>
      <xdr:colOff>4957</xdr:colOff>
      <xdr:row>41</xdr:row>
      <xdr:rowOff>178784</xdr:rowOff>
    </xdr:to>
    <xdr:sp macro="" textlink="$O$64">
      <xdr:nvSpPr>
        <xdr:cNvPr id="79" name="object 85">
          <a:extLst>
            <a:ext uri="{FF2B5EF4-FFF2-40B4-BE49-F238E27FC236}">
              <a16:creationId xmlns:a16="http://schemas.microsoft.com/office/drawing/2014/main" id="{03C07EE0-F0FC-4E0A-B9B7-A278DE909B79}"/>
            </a:ext>
          </a:extLst>
        </xdr:cNvPr>
        <xdr:cNvSpPr txBox="1"/>
      </xdr:nvSpPr>
      <xdr:spPr>
        <a:xfrm>
          <a:off x="747720" y="7797009"/>
          <a:ext cx="784038" cy="134845"/>
        </a:xfrm>
        <a:prstGeom prst="rect">
          <a:avLst/>
        </a:prstGeom>
      </xdr:spPr>
      <xdr:txBody>
        <a:bodyPr vert="horz" wrap="square" lIns="0" tIns="63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7305" marR="5080" indent="-6985">
            <a:lnSpc>
              <a:spcPct val="107900"/>
            </a:lnSpc>
            <a:spcBef>
              <a:spcPts val="5"/>
            </a:spcBef>
          </a:pPr>
          <a:fld id="{1E536207-E006-4B85-A19A-C05108033C06}" type="TxLink">
            <a:rPr lang="en-US" sz="900" b="1" i="0" u="none" strike="noStrike">
              <a:solidFill>
                <a:srgbClr val="2E463A"/>
              </a:solidFill>
              <a:latin typeface="Trebuchet MS"/>
              <a:cs typeface="Trebuchet MS"/>
            </a:rPr>
            <a:pPr marL="27305" marR="5080" indent="-6985">
              <a:lnSpc>
                <a:spcPct val="107900"/>
              </a:lnSpc>
              <a:spcBef>
                <a:spcPts val="5"/>
              </a:spcBef>
            </a:pPr>
            <a:t>CONT_001</a:t>
          </a:fld>
          <a:endParaRPr sz="900"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154080</xdr:colOff>
      <xdr:row>28</xdr:row>
      <xdr:rowOff>133069</xdr:rowOff>
    </xdr:from>
    <xdr:to>
      <xdr:col>6</xdr:col>
      <xdr:colOff>266139</xdr:colOff>
      <xdr:row>30</xdr:row>
      <xdr:rowOff>42021</xdr:rowOff>
    </xdr:to>
    <xdr:sp macro="" textlink="$O$67">
      <xdr:nvSpPr>
        <xdr:cNvPr id="80" name="object 80">
          <a:extLst>
            <a:ext uri="{FF2B5EF4-FFF2-40B4-BE49-F238E27FC236}">
              <a16:creationId xmlns:a16="http://schemas.microsoft.com/office/drawing/2014/main" id="{BE0B4D8E-1190-4A03-9419-D22413FFDC4B}"/>
            </a:ext>
          </a:extLst>
        </xdr:cNvPr>
        <xdr:cNvSpPr txBox="1"/>
      </xdr:nvSpPr>
      <xdr:spPr>
        <a:xfrm>
          <a:off x="3971084" y="5427848"/>
          <a:ext cx="875459" cy="287151"/>
        </a:xfrm>
        <a:prstGeom prst="rect">
          <a:avLst/>
        </a:prstGeom>
      </xdr:spPr>
      <xdr:txBody>
        <a:bodyPr vert="horz" wrap="square" lIns="0" tIns="6794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735"/>
            </a:spcBef>
          </a:pPr>
          <a:fld id="{3599F3E0-80CF-4C87-928D-28166A9312BF}" type="TxLink">
            <a:rPr lang="en-US" sz="1050" b="1" i="0" u="none" strike="noStrike" spc="1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pPr>
              <a:lnSpc>
                <a:spcPct val="100000"/>
              </a:lnSpc>
              <a:spcBef>
                <a:spcPts val="735"/>
              </a:spcBef>
            </a:pPr>
            <a:t>774,65</a:t>
          </a:fld>
          <a:endParaRPr sz="1050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6</xdr:col>
      <xdr:colOff>728383</xdr:colOff>
      <xdr:row>28</xdr:row>
      <xdr:rowOff>133070</xdr:rowOff>
    </xdr:from>
    <xdr:to>
      <xdr:col>8</xdr:col>
      <xdr:colOff>56029</xdr:colOff>
      <xdr:row>30</xdr:row>
      <xdr:rowOff>21011</xdr:rowOff>
    </xdr:to>
    <xdr:sp macro="" textlink="$O$68">
      <xdr:nvSpPr>
        <xdr:cNvPr id="81" name="object 81">
          <a:extLst>
            <a:ext uri="{FF2B5EF4-FFF2-40B4-BE49-F238E27FC236}">
              <a16:creationId xmlns:a16="http://schemas.microsoft.com/office/drawing/2014/main" id="{695BE423-DC48-4FE6-B4FC-CCE4A6DB3A16}"/>
            </a:ext>
          </a:extLst>
        </xdr:cNvPr>
        <xdr:cNvSpPr txBox="1"/>
      </xdr:nvSpPr>
      <xdr:spPr>
        <a:xfrm>
          <a:off x="5308787" y="5427849"/>
          <a:ext cx="854448" cy="266140"/>
        </a:xfrm>
        <a:prstGeom prst="rect">
          <a:avLst/>
        </a:prstGeom>
      </xdr:spPr>
      <xdr:txBody>
        <a:bodyPr vert="horz" wrap="square" lIns="0" tIns="67310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730"/>
            </a:spcBef>
          </a:pPr>
          <a:fld id="{CFB5F604-722E-47B7-9BF4-FF1E71548A43}" type="TxLink">
            <a:rPr lang="en-US" sz="1050" b="1" i="0" u="none" strike="noStrike" spc="20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pPr>
              <a:lnSpc>
                <a:spcPct val="100000"/>
              </a:lnSpc>
              <a:spcBef>
                <a:spcPts val="730"/>
              </a:spcBef>
            </a:pPr>
            <a:t>4.594,94</a:t>
          </a:fld>
          <a:endParaRPr sz="1050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96752</xdr:colOff>
      <xdr:row>45</xdr:row>
      <xdr:rowOff>113723</xdr:rowOff>
    </xdr:from>
    <xdr:to>
      <xdr:col>10</xdr:col>
      <xdr:colOff>84834</xdr:colOff>
      <xdr:row>46</xdr:row>
      <xdr:rowOff>22305</xdr:rowOff>
    </xdr:to>
    <xdr:sp macro="" textlink="$O$69">
      <xdr:nvSpPr>
        <xdr:cNvPr id="82" name="object 42">
          <a:extLst>
            <a:ext uri="{FF2B5EF4-FFF2-40B4-BE49-F238E27FC236}">
              <a16:creationId xmlns:a16="http://schemas.microsoft.com/office/drawing/2014/main" id="{87B7258A-4EE9-4374-88E8-9C913F21F1AA}"/>
            </a:ext>
          </a:extLst>
        </xdr:cNvPr>
        <xdr:cNvSpPr txBox="1"/>
      </xdr:nvSpPr>
      <xdr:spPr>
        <a:xfrm>
          <a:off x="3913756" y="8623190"/>
          <a:ext cx="3307824" cy="9768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square" lIns="0" tIns="571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45"/>
            </a:spcBef>
          </a:pPr>
          <a:fld id="{CC6EF8A5-0838-47B2-AB26-4694F9CD9DB5}" type="TxLink">
            <a:rPr lang="en-US" sz="500" b="1" i="0" u="none" strike="noStrike" baseline="0">
              <a:solidFill>
                <a:schemeClr val="accent6">
                  <a:lumMod val="50000"/>
                </a:schemeClr>
              </a:solidFill>
              <a:latin typeface="Arial"/>
              <a:cs typeface="Arial"/>
            </a:rPr>
            <a:pPr>
              <a:lnSpc>
                <a:spcPct val="100000"/>
              </a:lnSpc>
              <a:spcBef>
                <a:spcPts val="45"/>
              </a:spcBef>
            </a:pPr>
            <a:t>CUFEASDASD4654F65SA1555D</a:t>
          </a:fld>
          <a:endParaRPr sz="500" b="1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647566</xdr:colOff>
      <xdr:row>46</xdr:row>
      <xdr:rowOff>54135</xdr:rowOff>
    </xdr:from>
    <xdr:to>
      <xdr:col>6</xdr:col>
      <xdr:colOff>450177</xdr:colOff>
      <xdr:row>47</xdr:row>
      <xdr:rowOff>21333</xdr:rowOff>
    </xdr:to>
    <xdr:sp macro="" textlink="$O$70">
      <xdr:nvSpPr>
        <xdr:cNvPr id="83" name="object 42">
          <a:extLst>
            <a:ext uri="{FF2B5EF4-FFF2-40B4-BE49-F238E27FC236}">
              <a16:creationId xmlns:a16="http://schemas.microsoft.com/office/drawing/2014/main" id="{A679DCA2-D94F-42CF-B9E8-A643EC8F97E5}"/>
            </a:ext>
          </a:extLst>
        </xdr:cNvPr>
        <xdr:cNvSpPr txBox="1"/>
      </xdr:nvSpPr>
      <xdr:spPr>
        <a:xfrm>
          <a:off x="4464570" y="8752701"/>
          <a:ext cx="566011" cy="15629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square" lIns="0" tIns="571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45"/>
            </a:spcBef>
          </a:pPr>
          <a:fld id="{F692BB17-4E2C-48B5-8A9D-AA26663CA8AC}" type="TxLink">
            <a:rPr lang="en-US" sz="700" b="1" i="0" u="none" strike="noStrike" spc="15" baseline="30000">
              <a:solidFill>
                <a:srgbClr val="273C18"/>
              </a:solidFill>
              <a:latin typeface="Trebuchet MS"/>
              <a:cs typeface="Calibri"/>
            </a:rPr>
            <a:pPr>
              <a:lnSpc>
                <a:spcPct val="100000"/>
              </a:lnSpc>
              <a:spcBef>
                <a:spcPts val="45"/>
              </a:spcBef>
            </a:pPr>
            <a:t>1/01/2023</a:t>
          </a:fld>
          <a:endParaRPr sz="700" b="1" baseline="5050">
            <a:solidFill>
              <a:srgbClr val="273C18"/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1</xdr:col>
      <xdr:colOff>742390</xdr:colOff>
      <xdr:row>27</xdr:row>
      <xdr:rowOff>182096</xdr:rowOff>
    </xdr:from>
    <xdr:to>
      <xdr:col>2</xdr:col>
      <xdr:colOff>659812</xdr:colOff>
      <xdr:row>28</xdr:row>
      <xdr:rowOff>160976</xdr:rowOff>
    </xdr:to>
    <xdr:sp macro="" textlink="$O$58">
      <xdr:nvSpPr>
        <xdr:cNvPr id="84" name="object 25">
          <a:extLst>
            <a:ext uri="{FF2B5EF4-FFF2-40B4-BE49-F238E27FC236}">
              <a16:creationId xmlns:a16="http://schemas.microsoft.com/office/drawing/2014/main" id="{3A8B1BF5-E55F-44DB-A2C4-BA0078D7957F}"/>
            </a:ext>
          </a:extLst>
        </xdr:cNvPr>
        <xdr:cNvSpPr txBox="1"/>
      </xdr:nvSpPr>
      <xdr:spPr>
        <a:xfrm>
          <a:off x="1505791" y="5287776"/>
          <a:ext cx="680822" cy="167979"/>
        </a:xfrm>
        <a:prstGeom prst="rect">
          <a:avLst/>
        </a:prstGeom>
      </xdr:spPr>
      <xdr:txBody>
        <a:bodyPr vert="horz" wrap="square" lIns="0" tIns="158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25"/>
            </a:spcBef>
          </a:pPr>
          <a:r>
            <a:rPr lang="es-MX" sz="1000" b="0">
              <a:solidFill>
                <a:srgbClr val="34523B"/>
              </a:solidFill>
              <a:latin typeface="Trebuchet MS"/>
              <a:cs typeface="Trebuchet MS"/>
            </a:rPr>
            <a:t>kWh</a:t>
          </a:r>
          <a:endParaRPr sz="1000" b="0">
            <a:solidFill>
              <a:srgbClr val="34523B"/>
            </a:solidFill>
            <a:latin typeface="Trebuchet MS"/>
            <a:cs typeface="Trebuchet MS"/>
          </a:endParaRPr>
        </a:p>
      </xdr:txBody>
    </xdr:sp>
    <xdr:clientData/>
  </xdr:twoCellAnchor>
  <xdr:oneCellAnchor>
    <xdr:from>
      <xdr:col>1</xdr:col>
      <xdr:colOff>503836</xdr:colOff>
      <xdr:row>13</xdr:row>
      <xdr:rowOff>45941</xdr:rowOff>
    </xdr:from>
    <xdr:ext cx="479535" cy="256160"/>
    <xdr:sp macro="" textlink="$O$55">
      <xdr:nvSpPr>
        <xdr:cNvPr id="85" name="CuadroTexto 84">
          <a:extLst>
            <a:ext uri="{FF2B5EF4-FFF2-40B4-BE49-F238E27FC236}">
              <a16:creationId xmlns:a16="http://schemas.microsoft.com/office/drawing/2014/main" id="{20E0F4AE-0B22-4738-A4F1-DD1C7003A80F}"/>
            </a:ext>
          </a:extLst>
        </xdr:cNvPr>
        <xdr:cNvSpPr txBox="1"/>
      </xdr:nvSpPr>
      <xdr:spPr>
        <a:xfrm>
          <a:off x="1267237" y="2504231"/>
          <a:ext cx="479535" cy="256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 b="1">
              <a:solidFill>
                <a:schemeClr val="accent6">
                  <a:lumMod val="50000"/>
                </a:schemeClr>
              </a:solidFill>
              <a:latin typeface="Trebuchet MS" panose="020B0603020202020204" pitchFamily="34" charset="0"/>
            </a:rPr>
            <a:t>kwh</a:t>
          </a:r>
        </a:p>
      </xdr:txBody>
    </xdr:sp>
    <xdr:clientData/>
  </xdr:oneCellAnchor>
  <xdr:oneCellAnchor>
    <xdr:from>
      <xdr:col>3</xdr:col>
      <xdr:colOff>313056</xdr:colOff>
      <xdr:row>13</xdr:row>
      <xdr:rowOff>51264</xdr:rowOff>
    </xdr:from>
    <xdr:ext cx="479535" cy="256160"/>
    <xdr:sp macro="" textlink="$O$55">
      <xdr:nvSpPr>
        <xdr:cNvPr id="86" name="CuadroTexto 85">
          <a:extLst>
            <a:ext uri="{FF2B5EF4-FFF2-40B4-BE49-F238E27FC236}">
              <a16:creationId xmlns:a16="http://schemas.microsoft.com/office/drawing/2014/main" id="{F1C77CA3-57A1-4EF8-8C5B-83A7E4C6921E}"/>
            </a:ext>
          </a:extLst>
        </xdr:cNvPr>
        <xdr:cNvSpPr txBox="1"/>
      </xdr:nvSpPr>
      <xdr:spPr>
        <a:xfrm>
          <a:off x="2603258" y="2509554"/>
          <a:ext cx="479535" cy="256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 b="1">
              <a:solidFill>
                <a:schemeClr val="accent6">
                  <a:lumMod val="50000"/>
                </a:schemeClr>
              </a:solidFill>
              <a:latin typeface="Trebuchet MS" panose="020B0603020202020204" pitchFamily="34" charset="0"/>
            </a:rPr>
            <a:t>kwh</a:t>
          </a:r>
        </a:p>
      </xdr:txBody>
    </xdr:sp>
    <xdr:clientData/>
  </xdr:oneCellAnchor>
  <xdr:oneCellAnchor>
    <xdr:from>
      <xdr:col>6</xdr:col>
      <xdr:colOff>70037</xdr:colOff>
      <xdr:row>28</xdr:row>
      <xdr:rowOff>161085</xdr:rowOff>
    </xdr:from>
    <xdr:ext cx="631904" cy="248722"/>
    <xdr:sp macro="" textlink="$O$67">
      <xdr:nvSpPr>
        <xdr:cNvPr id="87" name="CuadroTexto 86">
          <a:extLst>
            <a:ext uri="{FF2B5EF4-FFF2-40B4-BE49-F238E27FC236}">
              <a16:creationId xmlns:a16="http://schemas.microsoft.com/office/drawing/2014/main" id="{6BD26F65-29D9-4A4C-ADDA-F27081B814C8}"/>
            </a:ext>
          </a:extLst>
        </xdr:cNvPr>
        <xdr:cNvSpPr txBox="1"/>
      </xdr:nvSpPr>
      <xdr:spPr>
        <a:xfrm>
          <a:off x="4650441" y="5455864"/>
          <a:ext cx="631904" cy="2487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CO" sz="1050" b="1">
              <a:solidFill>
                <a:srgbClr val="34523B"/>
              </a:solidFill>
              <a:latin typeface="Trebuchet MS" panose="020B0603020202020204" pitchFamily="34" charset="0"/>
            </a:rPr>
            <a:t>Kg</a:t>
          </a:r>
          <a:r>
            <a:rPr lang="es-CO" sz="1050" b="1" baseline="0">
              <a:solidFill>
                <a:srgbClr val="34523B"/>
              </a:solidFill>
              <a:latin typeface="Trebuchet MS" panose="020B0603020202020204" pitchFamily="34" charset="0"/>
            </a:rPr>
            <a:t> CO2</a:t>
          </a:r>
          <a:endParaRPr lang="es-CO" sz="1050" b="1">
            <a:solidFill>
              <a:srgbClr val="34523B"/>
            </a:solidFill>
            <a:latin typeface="Trebuchet MS" panose="020B0603020202020204" pitchFamily="34" charset="0"/>
          </a:endParaRPr>
        </a:p>
      </xdr:txBody>
    </xdr:sp>
    <xdr:clientData/>
  </xdr:oneCellAnchor>
  <xdr:oneCellAnchor>
    <xdr:from>
      <xdr:col>7</xdr:col>
      <xdr:colOff>642657</xdr:colOff>
      <xdr:row>28</xdr:row>
      <xdr:rowOff>159404</xdr:rowOff>
    </xdr:from>
    <xdr:ext cx="631904" cy="248722"/>
    <xdr:sp macro="" textlink="$O$67">
      <xdr:nvSpPr>
        <xdr:cNvPr id="88" name="CuadroTexto 87">
          <a:extLst>
            <a:ext uri="{FF2B5EF4-FFF2-40B4-BE49-F238E27FC236}">
              <a16:creationId xmlns:a16="http://schemas.microsoft.com/office/drawing/2014/main" id="{83E34EB6-7672-443C-A757-2EE537D14509}"/>
            </a:ext>
          </a:extLst>
        </xdr:cNvPr>
        <xdr:cNvSpPr txBox="1"/>
      </xdr:nvSpPr>
      <xdr:spPr>
        <a:xfrm>
          <a:off x="5986462" y="5454183"/>
          <a:ext cx="631904" cy="2487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CO" sz="1050" b="1">
              <a:solidFill>
                <a:srgbClr val="34523B"/>
              </a:solidFill>
              <a:latin typeface="Trebuchet MS" panose="020B0603020202020204" pitchFamily="34" charset="0"/>
            </a:rPr>
            <a:t>Kg</a:t>
          </a:r>
          <a:r>
            <a:rPr lang="es-CO" sz="1050" b="1" baseline="0">
              <a:solidFill>
                <a:srgbClr val="34523B"/>
              </a:solidFill>
              <a:latin typeface="Trebuchet MS" panose="020B0603020202020204" pitchFamily="34" charset="0"/>
            </a:rPr>
            <a:t> CO2</a:t>
          </a:r>
          <a:endParaRPr lang="es-CO" sz="1050" b="1">
            <a:solidFill>
              <a:srgbClr val="34523B"/>
            </a:solidFill>
            <a:latin typeface="Trebuchet MS" panose="020B0603020202020204" pitchFamily="34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DA88F-4AAF-4497-9A07-A61E265D83E0}">
  <sheetPr codeName="Hoja4"/>
  <dimension ref="A5:R26"/>
  <sheetViews>
    <sheetView topLeftCell="A5" workbookViewId="0">
      <pane ySplit="1" topLeftCell="A6" activePane="bottomLeft" state="frozen"/>
      <selection activeCell="A5" sqref="A5"/>
      <selection pane="bottomLeft" activeCell="J11" sqref="J11"/>
    </sheetView>
  </sheetViews>
  <sheetFormatPr baseColWidth="10" defaultColWidth="11.42578125" defaultRowHeight="15" x14ac:dyDescent="0.25"/>
  <cols>
    <col min="2" max="2" width="8.7109375" style="37" bestFit="1" customWidth="1"/>
    <col min="5" max="5" width="14.85546875" bestFit="1" customWidth="1"/>
    <col min="6" max="6" width="14.28515625" bestFit="1" customWidth="1"/>
    <col min="7" max="7" width="12" bestFit="1" customWidth="1"/>
    <col min="8" max="8" width="12.7109375" bestFit="1" customWidth="1"/>
    <col min="9" max="9" width="14" bestFit="1" customWidth="1"/>
    <col min="10" max="10" width="14.28515625" bestFit="1" customWidth="1"/>
    <col min="11" max="11" width="16.28515625" bestFit="1" customWidth="1"/>
    <col min="13" max="13" width="14" bestFit="1" customWidth="1"/>
    <col min="15" max="15" width="12.140625" customWidth="1"/>
    <col min="16" max="16" width="11.7109375" bestFit="1" customWidth="1"/>
    <col min="17" max="17" width="10.28515625" bestFit="1" customWidth="1"/>
    <col min="18" max="18" width="14.85546875" bestFit="1" customWidth="1"/>
  </cols>
  <sheetData>
    <row r="5" spans="2:18" ht="30" x14ac:dyDescent="0.25">
      <c r="B5" s="4" t="s">
        <v>0</v>
      </c>
      <c r="C5" s="4" t="s">
        <v>1</v>
      </c>
      <c r="D5" s="5" t="s">
        <v>2</v>
      </c>
      <c r="E5" s="4" t="s">
        <v>3</v>
      </c>
      <c r="F5" s="4" t="s">
        <v>4</v>
      </c>
      <c r="G5" s="4" t="s">
        <v>5</v>
      </c>
      <c r="H5" s="4" t="s">
        <v>6</v>
      </c>
      <c r="I5" s="4" t="s">
        <v>7</v>
      </c>
      <c r="J5" s="4" t="s">
        <v>8</v>
      </c>
      <c r="K5" s="4" t="s">
        <v>9</v>
      </c>
      <c r="L5" s="4" t="s">
        <v>10</v>
      </c>
      <c r="M5" s="4" t="s">
        <v>11</v>
      </c>
    </row>
    <row r="6" spans="2:18" x14ac:dyDescent="0.25">
      <c r="B6" s="36" t="s">
        <v>47</v>
      </c>
      <c r="C6" s="2">
        <v>27376.798999999999</v>
      </c>
      <c r="D6" s="2"/>
      <c r="E6" s="38">
        <v>396.81462093414405</v>
      </c>
      <c r="F6" s="2"/>
      <c r="G6" s="2">
        <v>1009</v>
      </c>
      <c r="H6" s="2"/>
      <c r="I6" s="2"/>
      <c r="J6" s="2">
        <v>16759676.073424745</v>
      </c>
      <c r="K6" s="2"/>
      <c r="L6" s="2"/>
      <c r="M6" s="2"/>
    </row>
    <row r="7" spans="2:18" x14ac:dyDescent="0.25">
      <c r="B7" s="36">
        <v>45346</v>
      </c>
      <c r="C7" s="2">
        <v>25316.398300000001</v>
      </c>
      <c r="D7" s="2"/>
      <c r="E7" s="1">
        <v>396.81462093414405</v>
      </c>
      <c r="F7" s="12"/>
      <c r="G7" s="1">
        <v>974.72</v>
      </c>
      <c r="H7" s="1"/>
      <c r="I7" s="1"/>
      <c r="J7" s="3">
        <v>14630482.756143693</v>
      </c>
      <c r="K7" s="3"/>
      <c r="L7" s="6"/>
      <c r="M7" s="6"/>
    </row>
    <row r="8" spans="2:18" x14ac:dyDescent="0.25">
      <c r="B8" s="36">
        <v>45375</v>
      </c>
      <c r="C8" s="2">
        <v>25814.799999999999</v>
      </c>
      <c r="D8" s="2"/>
      <c r="E8" s="1">
        <v>396.81462093414405</v>
      </c>
      <c r="F8" s="12"/>
      <c r="G8" s="1">
        <v>990.84</v>
      </c>
      <c r="H8" s="1"/>
      <c r="I8" s="1"/>
      <c r="J8" s="3">
        <v>15334646.355509259</v>
      </c>
      <c r="K8" s="3"/>
      <c r="L8" s="6"/>
      <c r="M8" s="6"/>
    </row>
    <row r="9" spans="2:18" x14ac:dyDescent="0.25">
      <c r="B9" s="36" t="s">
        <v>48</v>
      </c>
      <c r="C9" s="2">
        <v>24772.4997</v>
      </c>
      <c r="D9" s="2"/>
      <c r="E9" s="1">
        <v>396.81462093414405</v>
      </c>
      <c r="F9" s="12"/>
      <c r="G9" s="1">
        <v>1009.04</v>
      </c>
      <c r="H9" s="1"/>
      <c r="I9" s="1"/>
      <c r="J9" s="3">
        <v>15166353.019241301</v>
      </c>
      <c r="K9" s="3"/>
      <c r="L9" s="6"/>
      <c r="M9" s="6"/>
    </row>
    <row r="10" spans="2:18" x14ac:dyDescent="0.25">
      <c r="B10" s="36">
        <v>45436</v>
      </c>
      <c r="C10" s="2">
        <v>24938.502</v>
      </c>
      <c r="D10" s="2"/>
      <c r="E10" s="1">
        <v>396.81462093414405</v>
      </c>
      <c r="F10" s="12"/>
      <c r="G10" s="1">
        <v>1062.3599999999999</v>
      </c>
      <c r="H10" s="1"/>
      <c r="I10" s="1"/>
      <c r="J10" s="3">
        <v>16597704.766924605</v>
      </c>
      <c r="K10" s="3"/>
      <c r="L10" s="6"/>
      <c r="M10" s="6"/>
    </row>
    <row r="11" spans="2:18" x14ac:dyDescent="0.25">
      <c r="B11" s="36">
        <v>45467</v>
      </c>
      <c r="C11" s="10">
        <v>23939.600900000001</v>
      </c>
      <c r="D11" s="10"/>
      <c r="E11" s="1">
        <v>396.81462093414405</v>
      </c>
      <c r="F11" s="12"/>
      <c r="G11" s="13">
        <v>941.82</v>
      </c>
      <c r="H11" s="1"/>
      <c r="I11" s="1"/>
      <c r="J11" s="3">
        <v>13047211.263189808</v>
      </c>
      <c r="K11" s="3"/>
      <c r="L11" s="6"/>
      <c r="M11" s="6"/>
    </row>
    <row r="16" spans="2:18" x14ac:dyDescent="0.25">
      <c r="P16" s="11" t="s">
        <v>12</v>
      </c>
      <c r="Q16" s="11" t="s">
        <v>13</v>
      </c>
      <c r="R16" s="11" t="s">
        <v>14</v>
      </c>
    </row>
    <row r="17" spans="1:18" x14ac:dyDescent="0.25">
      <c r="B17" s="50" t="s">
        <v>15</v>
      </c>
      <c r="C17" s="51"/>
      <c r="D17" s="51"/>
      <c r="E17" s="51"/>
      <c r="F17" s="51"/>
      <c r="G17" s="52"/>
      <c r="O17" s="7">
        <v>44927</v>
      </c>
      <c r="P17" s="8">
        <f>G6</f>
        <v>1009</v>
      </c>
      <c r="Q17" s="1">
        <f t="shared" ref="Q17:Q22" si="0">E6</f>
        <v>396.81462093414405</v>
      </c>
      <c r="R17" s="8">
        <f t="shared" ref="R17:R22" si="1">J6</f>
        <v>16759676.073424745</v>
      </c>
    </row>
    <row r="18" spans="1:18" x14ac:dyDescent="0.25">
      <c r="B18" s="23" t="s">
        <v>16</v>
      </c>
      <c r="C18" s="23" t="s">
        <v>17</v>
      </c>
      <c r="D18" s="22" t="s">
        <v>18</v>
      </c>
      <c r="E18" s="22" t="s">
        <v>19</v>
      </c>
      <c r="F18" s="22" t="s">
        <v>20</v>
      </c>
      <c r="G18" s="23" t="s">
        <v>21</v>
      </c>
      <c r="O18" s="7">
        <v>44958</v>
      </c>
      <c r="P18" s="8">
        <f t="shared" ref="P18:P22" si="2">G7</f>
        <v>974.72</v>
      </c>
      <c r="Q18" s="1">
        <f t="shared" si="0"/>
        <v>396.81462093414405</v>
      </c>
      <c r="R18" s="8">
        <f t="shared" si="1"/>
        <v>14630482.756143693</v>
      </c>
    </row>
    <row r="19" spans="1:18" x14ac:dyDescent="0.25">
      <c r="B19" s="20">
        <v>45139</v>
      </c>
      <c r="C19" s="18">
        <v>26652.400000000001</v>
      </c>
      <c r="D19" s="19">
        <v>475.1</v>
      </c>
      <c r="E19" s="17">
        <f>+C19*D19</f>
        <v>12662555.240000002</v>
      </c>
      <c r="F19" s="15">
        <v>13975470</v>
      </c>
      <c r="G19" s="16">
        <f>E19-F19</f>
        <v>-1312914.7599999979</v>
      </c>
      <c r="O19" s="7">
        <v>44986</v>
      </c>
      <c r="P19" s="8">
        <f t="shared" si="2"/>
        <v>990.84</v>
      </c>
      <c r="Q19" s="1">
        <f t="shared" si="0"/>
        <v>396.81462093414405</v>
      </c>
      <c r="R19" s="8">
        <f t="shared" si="1"/>
        <v>15334646.355509259</v>
      </c>
    </row>
    <row r="20" spans="1:18" x14ac:dyDescent="0.25">
      <c r="B20" s="44" t="s">
        <v>22</v>
      </c>
      <c r="C20" s="45"/>
      <c r="D20" s="46"/>
      <c r="E20" s="47">
        <f>G19</f>
        <v>-1312914.7599999979</v>
      </c>
      <c r="F20" s="48"/>
      <c r="G20" s="49"/>
      <c r="O20" s="7">
        <v>45017</v>
      </c>
      <c r="P20" s="8">
        <f t="shared" si="2"/>
        <v>1009.04</v>
      </c>
      <c r="Q20" s="1">
        <f t="shared" si="0"/>
        <v>396.81462093414405</v>
      </c>
      <c r="R20" s="8">
        <f t="shared" si="1"/>
        <v>15166353.019241301</v>
      </c>
    </row>
    <row r="21" spans="1:18" x14ac:dyDescent="0.25">
      <c r="O21" s="7">
        <v>45047</v>
      </c>
      <c r="P21" s="8">
        <f t="shared" si="2"/>
        <v>1062.3599999999999</v>
      </c>
      <c r="Q21" s="1">
        <f t="shared" si="0"/>
        <v>396.81462093414405</v>
      </c>
      <c r="R21" s="8">
        <f t="shared" si="1"/>
        <v>16597704.766924605</v>
      </c>
    </row>
    <row r="22" spans="1:18" x14ac:dyDescent="0.25">
      <c r="O22" s="7">
        <v>45078</v>
      </c>
      <c r="P22" s="8">
        <f t="shared" si="2"/>
        <v>941.82</v>
      </c>
      <c r="Q22" s="1">
        <f t="shared" si="0"/>
        <v>396.81462093414405</v>
      </c>
      <c r="R22" s="8">
        <f t="shared" si="1"/>
        <v>13047211.263189808</v>
      </c>
    </row>
    <row r="23" spans="1:18" x14ac:dyDescent="0.25">
      <c r="A23" s="21"/>
    </row>
    <row r="25" spans="1:18" x14ac:dyDescent="0.25">
      <c r="H25" s="14"/>
    </row>
    <row r="26" spans="1:18" x14ac:dyDescent="0.25">
      <c r="H26" s="14"/>
    </row>
  </sheetData>
  <mergeCells count="3">
    <mergeCell ref="B20:D20"/>
    <mergeCell ref="E20:G20"/>
    <mergeCell ref="B17:G1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4F845-54F6-41AF-928C-94C5593D7E86}">
  <sheetPr codeName="Hoja11">
    <pageSetUpPr fitToPage="1"/>
  </sheetPr>
  <dimension ref="L18:O70"/>
  <sheetViews>
    <sheetView tabSelected="1" topLeftCell="A22" zoomScale="136" zoomScaleNormal="136" zoomScaleSheetLayoutView="100" workbookViewId="0">
      <selection activeCell="K30" sqref="K30"/>
    </sheetView>
  </sheetViews>
  <sheetFormatPr baseColWidth="10" defaultColWidth="11.42578125" defaultRowHeight="15" x14ac:dyDescent="0.25"/>
  <cols>
    <col min="9" max="9" width="11.85546875" customWidth="1"/>
    <col min="10" max="10" width="3.5703125" customWidth="1"/>
    <col min="14" max="14" width="19.85546875" bestFit="1" customWidth="1"/>
    <col min="15" max="15" width="24.5703125" bestFit="1" customWidth="1"/>
  </cols>
  <sheetData>
    <row r="18" spans="12:13" x14ac:dyDescent="0.25">
      <c r="L18" s="9"/>
    </row>
    <row r="20" spans="12:13" x14ac:dyDescent="0.25">
      <c r="M20" s="27"/>
    </row>
    <row r="52" spans="14:15" ht="15.75" x14ac:dyDescent="0.3">
      <c r="N52" s="24" t="s">
        <v>23</v>
      </c>
      <c r="O52" s="25">
        <v>44927</v>
      </c>
    </row>
    <row r="53" spans="14:15" ht="15.75" x14ac:dyDescent="0.3">
      <c r="N53" s="24" t="s">
        <v>24</v>
      </c>
      <c r="O53" s="25">
        <v>44957</v>
      </c>
    </row>
    <row r="54" spans="14:15" ht="15.75" x14ac:dyDescent="0.3">
      <c r="N54" s="24" t="s">
        <v>25</v>
      </c>
      <c r="O54" s="26">
        <v>30</v>
      </c>
    </row>
    <row r="55" spans="14:15" ht="18" x14ac:dyDescent="0.35">
      <c r="N55" s="24" t="s">
        <v>26</v>
      </c>
      <c r="O55" s="41">
        <v>15465237.852499999</v>
      </c>
    </row>
    <row r="56" spans="14:15" ht="18" x14ac:dyDescent="0.35">
      <c r="N56" s="24" t="s">
        <v>27</v>
      </c>
      <c r="O56" s="41">
        <v>982536.45499999996</v>
      </c>
    </row>
    <row r="57" spans="14:15" x14ac:dyDescent="0.25">
      <c r="N57" s="24" t="s">
        <v>28</v>
      </c>
      <c r="O57" s="28" t="s">
        <v>42</v>
      </c>
    </row>
    <row r="58" spans="14:15" x14ac:dyDescent="0.25">
      <c r="N58" s="24" t="s">
        <v>29</v>
      </c>
      <c r="O58" s="30">
        <v>1354.96</v>
      </c>
    </row>
    <row r="59" spans="14:15" x14ac:dyDescent="0.25">
      <c r="N59" s="24" t="s">
        <v>30</v>
      </c>
      <c r="O59" s="40">
        <v>352.58499999999998</v>
      </c>
    </row>
    <row r="60" spans="14:15" ht="16.5" x14ac:dyDescent="0.35">
      <c r="N60" s="24" t="s">
        <v>31</v>
      </c>
      <c r="O60" s="39">
        <v>5514985.5420000004</v>
      </c>
    </row>
    <row r="61" spans="14:15" x14ac:dyDescent="0.25">
      <c r="N61" s="24" t="s">
        <v>32</v>
      </c>
      <c r="O61" s="31">
        <v>44958</v>
      </c>
    </row>
    <row r="62" spans="14:15" x14ac:dyDescent="0.25">
      <c r="N62" s="24" t="s">
        <v>33</v>
      </c>
      <c r="O62" s="32" t="s">
        <v>43</v>
      </c>
    </row>
    <row r="63" spans="14:15" ht="15.75" x14ac:dyDescent="0.3">
      <c r="N63" s="24" t="s">
        <v>34</v>
      </c>
      <c r="O63" s="29" t="s">
        <v>44</v>
      </c>
    </row>
    <row r="64" spans="14:15" ht="16.5" x14ac:dyDescent="0.35">
      <c r="N64" s="24" t="s">
        <v>35</v>
      </c>
      <c r="O64" s="33" t="s">
        <v>45</v>
      </c>
    </row>
    <row r="65" spans="14:15" ht="18" x14ac:dyDescent="0.35">
      <c r="N65" s="24" t="s">
        <v>36</v>
      </c>
      <c r="O65" s="42">
        <v>94586268511.740005</v>
      </c>
    </row>
    <row r="66" spans="14:15" ht="18" x14ac:dyDescent="0.35">
      <c r="N66" s="24" t="s">
        <v>37</v>
      </c>
      <c r="O66" s="42">
        <v>65968485251.220001</v>
      </c>
    </row>
    <row r="67" spans="14:15" ht="18" x14ac:dyDescent="0.35">
      <c r="N67" s="24" t="s">
        <v>38</v>
      </c>
      <c r="O67" s="43">
        <v>774.65254000000004</v>
      </c>
    </row>
    <row r="68" spans="14:15" ht="18" x14ac:dyDescent="0.35">
      <c r="N68" s="24" t="s">
        <v>39</v>
      </c>
      <c r="O68" s="43">
        <v>4594.9399999999996</v>
      </c>
    </row>
    <row r="69" spans="14:15" x14ac:dyDescent="0.25">
      <c r="N69" s="24" t="s">
        <v>40</v>
      </c>
      <c r="O69" s="34" t="s">
        <v>46</v>
      </c>
    </row>
    <row r="70" spans="14:15" ht="15.75" x14ac:dyDescent="0.3">
      <c r="N70" s="24" t="s">
        <v>41</v>
      </c>
      <c r="O70" s="35">
        <v>44927</v>
      </c>
    </row>
  </sheetData>
  <pageMargins left="0.23622047244094488" right="7.874015748031496E-2" top="0.39370078740157483" bottom="0.39370078740157483" header="0.19685039370078741" footer="0.11811023622047244"/>
  <pageSetup scale="97" orientation="portrait" r:id="rId1"/>
  <colBreaks count="1" manualBreakCount="1">
    <brk id="10" max="47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28637a7-893d-428e-af8a-e5bc0dc76cd8" xsi:nil="true"/>
    <lcf76f155ced4ddcb4097134ff3c332f xmlns="e7313b36-24db-4a5b-8b27-fbf44eda5fe8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B6868C99F8F42498FA1203F1F96F592" ma:contentTypeVersion="14" ma:contentTypeDescription="Crear nuevo documento." ma:contentTypeScope="" ma:versionID="d72e54afdf12df34fa3bb8fdc3be2faf">
  <xsd:schema xmlns:xsd="http://www.w3.org/2001/XMLSchema" xmlns:xs="http://www.w3.org/2001/XMLSchema" xmlns:p="http://schemas.microsoft.com/office/2006/metadata/properties" xmlns:ns2="e7313b36-24db-4a5b-8b27-fbf44eda5fe8" xmlns:ns3="028637a7-893d-428e-af8a-e5bc0dc76cd8" targetNamespace="http://schemas.microsoft.com/office/2006/metadata/properties" ma:root="true" ma:fieldsID="535871bbd5434ceb998da2ad73f512ab" ns2:_="" ns3:_="">
    <xsd:import namespace="e7313b36-24db-4a5b-8b27-fbf44eda5fe8"/>
    <xsd:import namespace="028637a7-893d-428e-af8a-e5bc0dc76cd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313b36-24db-4a5b-8b27-fbf44eda5fe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Etiquetas de imagen" ma:readOnly="false" ma:fieldId="{5cf76f15-5ced-4ddc-b409-7134ff3c332f}" ma:taxonomyMulti="true" ma:sspId="25db2dac-40fb-4f36-a145-aa4b63f5800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8637a7-893d-428e-af8a-e5bc0dc76cd8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566f8aad-b534-4a09-a3cc-25ee7a79d2a7}" ma:internalName="TaxCatchAll" ma:showField="CatchAllData" ma:web="028637a7-893d-428e-af8a-e5bc0dc76cd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0771AD8-12E9-4CEB-82D1-3AA1FFD623F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856EA12-9D37-4009-A23D-41BC2243E912}">
  <ds:schemaRefs>
    <ds:schemaRef ds:uri="http://schemas.openxmlformats.org/package/2006/metadata/core-properties"/>
    <ds:schemaRef ds:uri="http://purl.org/dc/terms/"/>
    <ds:schemaRef ds:uri="http://www.w3.org/XML/1998/namespace"/>
    <ds:schemaRef ds:uri="http://schemas.microsoft.com/office/2006/metadata/properties"/>
    <ds:schemaRef ds:uri="http://purl.org/dc/elements/1.1/"/>
    <ds:schemaRef ds:uri="http://purl.org/dc/dcmitype/"/>
    <ds:schemaRef ds:uri="http://schemas.microsoft.com/office/2006/documentManagement/types"/>
    <ds:schemaRef ds:uri="http://schemas.microsoft.com/office/infopath/2007/PartnerControls"/>
    <ds:schemaRef ds:uri="028637a7-893d-428e-af8a-e5bc0dc76cd8"/>
    <ds:schemaRef ds:uri="e7313b36-24db-4a5b-8b27-fbf44eda5fe8"/>
  </ds:schemaRefs>
</ds:datastoreItem>
</file>

<file path=customXml/itemProps3.xml><?xml version="1.0" encoding="utf-8"?>
<ds:datastoreItem xmlns:ds="http://schemas.openxmlformats.org/officeDocument/2006/customXml" ds:itemID="{DF145160-7729-410C-BDFC-FDEB719F3E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7313b36-24db-4a5b-8b27-fbf44eda5fe8"/>
    <ds:schemaRef ds:uri="028637a7-893d-428e-af8a-e5bc0dc76cd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INCUBANSSFV_GRAPHICS</vt:lpstr>
      <vt:lpstr>INCUBANSSFV</vt:lpstr>
      <vt:lpstr>INCUBANSSFV!Print_Area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RAMON FERNANDEZ</dc:creator>
  <cp:keywords/>
  <dc:description/>
  <cp:lastModifiedBy>Yessenia  Martinez George</cp:lastModifiedBy>
  <cp:revision/>
  <dcterms:created xsi:type="dcterms:W3CDTF">2023-02-14T19:49:03Z</dcterms:created>
  <dcterms:modified xsi:type="dcterms:W3CDTF">2024-08-09T14:20:13Z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0x0101005B6868C99F8F42498FA1203F1F96F592</vt:lpwstr>
  </property>
  <property fmtid="{D5CDD505-2E9C-101B-9397-08002B2CF9AE}" pid="3" name="MediaServiceImageTags">
    <vt:lpwstr/>
  </property>
</Properties>
</file>