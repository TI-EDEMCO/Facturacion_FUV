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AD8D791F-6F81-44EB-8128-A3EDDB689B87}" xr6:coauthVersionLast="36" xr6:coauthVersionMax="36" xr10:uidLastSave="{00000000-0000-0000-0000-000000000000}"/>
  <bookViews>
    <workbookView xWindow="0" yWindow="0" windowWidth="24000" windowHeight="9405" tabRatio="789" activeTab="1" xr2:uid="{97B622EB-0C47-4D02-AD4F-870D2580F108}"/>
  </bookViews>
  <sheets>
    <sheet name="LICEOFRANCESSFV_GRAPHICS" sheetId="6" r:id="rId1"/>
    <sheet name="LICEOFRANCESSFV" sheetId="12" r:id="rId2"/>
  </sheets>
  <definedNames>
    <definedName name="Print_Area" localSheetId="1">LICEOFRANCESSFV!$A$1:$J$48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3" i="6" l="1"/>
  <c r="Q13" i="6"/>
  <c r="P13" i="6"/>
  <c r="O14" i="6" l="1"/>
  <c r="O15" i="6"/>
  <c r="O16" i="6"/>
  <c r="O17" i="6"/>
  <c r="O18" i="6"/>
  <c r="O13" i="6"/>
  <c r="Q18" i="6" l="1"/>
  <c r="P18" i="6"/>
  <c r="R18" i="6"/>
  <c r="P17" i="6" l="1"/>
  <c r="Q17" i="6"/>
  <c r="R17" i="6" l="1"/>
  <c r="Q16" i="6" l="1"/>
  <c r="P16" i="6"/>
  <c r="C3" i="6"/>
  <c r="R16" i="6" l="1"/>
  <c r="Q15" i="6"/>
  <c r="P15" i="6"/>
  <c r="R15" i="6"/>
  <c r="Q14" i="6" l="1"/>
  <c r="P14" i="6"/>
  <c r="R14" i="6"/>
</calcChain>
</file>

<file path=xl/sharedStrings.xml><?xml version="1.0" encoding="utf-8"?>
<sst xmlns="http://schemas.openxmlformats.org/spreadsheetml/2006/main" count="42" uniqueCount="42">
  <si>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</si>
  <si>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</si>
  <si>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</si>
  <si>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</si>
  <si>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</si>
  <si>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</si>
  <si>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</si>
  <si>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</si>
  <si>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</si>
  <si>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</si>
  <si>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</si>
  <si>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</si>
  <si>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</si>
  <si>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</si>
  <si>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</si>
  <si>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</si>
  <si>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</si>
  <si>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</si>
  <si>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</si>
  <si>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</si>
  <si>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</si>
  <si>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</si>
  <si>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</si>
  <si>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</si>
  <si>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</si>
  <si>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</si>
  <si>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</si>
  <si>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</si>
  <si>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</si>
  <si>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</si>
  <si>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</si>
  <si>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</si>
  <si>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Generación</t>
  </si>
  <si>
    <t>Lemont Salón Social</t>
  </si>
  <si>
    <t>Negrita == importante</t>
  </si>
  <si>
    <t>CUFEASDASD4654F65SA1555D</t>
  </si>
  <si>
    <t>Ene-24</t>
  </si>
  <si>
    <t>Abr-24</t>
  </si>
  <si>
    <t>Concepto1</t>
  </si>
  <si>
    <t>2023-01</t>
  </si>
  <si>
    <t>FACT_001</t>
  </si>
  <si>
    <t>CONT_001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</si>
</sst>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_-* #,##0.0_-;\-* #,##0.0_-;_-* &quot;-&quot;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"/>
      <color theme="1"/>
      <name val="Arial"/>
      <family val="2"/>
    </font>
    <font>
      <sz val="8.5"/>
      <color theme="1"/>
      <name val="Trebuchet MS"/>
      <family val="2"/>
    </font>
    <font>
      <b/>
      <sz val="8.5"/>
      <color theme="1"/>
      <name val="Trebuchet MS"/>
      <family val="2"/>
    </font>
    <font>
      <b/>
      <sz val="12.5"/>
      <color theme="1"/>
      <name val="Trebuchet MS"/>
      <family val="2"/>
    </font>
    <font>
      <sz val="7.5"/>
      <color theme="1"/>
      <name val="Trebuchet MS"/>
      <family val="2"/>
    </font>
    <font>
      <sz val="12.8"/>
      <color theme="1"/>
      <name val="Trebuchet MS"/>
      <family val="2"/>
    </font>
    <font>
      <b/>
      <sz val="9"/>
      <color theme="1"/>
      <name val="Trebuchet MS"/>
      <family val="2"/>
    </font>
    <font>
      <b/>
      <sz val="8"/>
      <color theme="1"/>
      <name val="Trebuchet MS"/>
      <family val="2"/>
    </font>
    <font>
      <b/>
      <sz val="12"/>
      <color theme="1"/>
      <name val="Trebuchet MS"/>
      <family val="2"/>
    </font>
    <font>
      <sz val="8.3000000000000007"/>
      <color theme="1"/>
      <name val="Trebuchet MS"/>
      <family val="2"/>
    </font>
    <font>
      <sz val="10"/>
      <color theme="0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1" fontId="0" fillId="0" borderId="0" xfId="2" applyFont="1"/>
    <xf numFmtId="169" fontId="0" fillId="0" borderId="0" xfId="0" applyNumberFormat="1"/>
    <xf numFmtId="0" fontId="3" fillId="0" borderId="0" xfId="0" applyFont="1"/>
    <xf numFmtId="164" fontId="0" fillId="0" borderId="0" xfId="0" applyNumberFormat="1"/>
    <xf numFmtId="0" fontId="2" fillId="2" borderId="2" xfId="0" applyFont="1" applyFill="1" applyBorder="1" applyAlignment="1">
      <alignment horizontal="center"/>
    </xf>
    <xf numFmtId="165" fontId="0" fillId="0" borderId="0" xfId="0" applyNumberFormat="1"/>
    <xf numFmtId="0" fontId="0" fillId="3" borderId="0" xfId="0" applyFill="1"/>
    <xf numFmtId="0" fontId="3" fillId="3" borderId="0" xfId="0" applyFont="1" applyFill="1"/>
    <xf numFmtId="14" fontId="6" fillId="0" borderId="0" xfId="0" applyNumberFormat="1" applyFont="1"/>
    <xf numFmtId="0" fontId="8" fillId="0" borderId="0" xfId="0" applyNumberFormat="1" applyFont="1"/>
    <xf numFmtId="0" fontId="10" fillId="0" borderId="0" xfId="0" applyNumberFormat="1" applyFont="1"/>
    <xf numFmtId="0" fontId="11" fillId="0" borderId="0" xfId="0" applyNumberFormat="1" applyFont="1"/>
    <xf numFmtId="14" fontId="13" fillId="0" borderId="0" xfId="0" applyNumberFormat="1" applyFont="1"/>
    <xf numFmtId="0" fontId="5" fillId="0" borderId="0" xfId="0" applyNumberFormat="1" applyFont="1"/>
    <xf numFmtId="14" fontId="14" fillId="3" borderId="0" xfId="0" applyNumberFormat="1" applyFont="1" applyFill="1"/>
    <xf numFmtId="0" fontId="4" fillId="0" borderId="0" xfId="0" applyFont="1"/>
    <xf numFmtId="164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3" fillId="4" borderId="1" xfId="0" applyNumberFormat="1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17" fontId="0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9" fillId="0" borderId="0" xfId="0" applyNumberFormat="1" applyFont="1"/>
    <xf numFmtId="167" fontId="8" fillId="0" borderId="0" xfId="0" applyNumberFormat="1" applyFont="1"/>
    <xf numFmtId="4" fontId="8" fillId="0" borderId="0" xfId="0" applyNumberFormat="1" applyFont="1"/>
    <xf numFmtId="4" fontId="12" fillId="0" borderId="0" xfId="0" applyNumberFormat="1" applyFont="1"/>
    <xf numFmtId="4" fontId="7" fillId="0" borderId="0" xfId="0" applyNumberFormat="1" applyFont="1"/>
    <xf numFmtId="167" fontId="12" fillId="0" borderId="0" xfId="0" applyNumberFormat="1" applyFont="1"/>
  </cellXfs>
  <cellStyles count="6">
    <cellStyle name="Millares" xfId="1" builtinId="3"/>
    <cellStyle name="Millares [0]" xfId="2" builtinId="6"/>
    <cellStyle name="Millares [0] 2" xfId="5" xr:uid="{DF053EFB-4EEE-4063-AE9D-5901B899946F}"/>
    <cellStyle name="Millares 2" xfId="4" xr:uid="{DC3977F5-8F4B-427A-BCD7-C6B8358AC4F8}"/>
    <cellStyle name="Millares 3" xfId="3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19" Type="http://schemas.microsoft.com/office/2017/10/relationships/person" Target="persons/person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LICEOFRANCESSFV_GRAPHICS!$B$6:$B$11</c:f>
              <c:strCache>
                <c:ptCount val="6"/>
                <c:pt idx="0">
                  <c:v>Ene-24</c:v>
                </c:pt>
                <c:pt idx="1">
                  <c:v>feb-24</c:v>
                </c:pt>
                <c:pt idx="2">
                  <c:v>mar-24</c:v>
                </c:pt>
                <c:pt idx="3">
                  <c:v>Abr-24</c:v>
                </c:pt>
                <c:pt idx="4">
                  <c:v>may-24</c:v>
                </c:pt>
                <c:pt idx="5">
                  <c:v>jun-24</c:v>
                </c:pt>
              </c:strCache>
            </c:strRef>
          </c:cat>
          <c:val>
            <c:numRef>
              <c:f>LICEOFRANCESSFV_GRAPHICS!$C$6:$C$11</c:f>
              <c:numCache>
                <c:formatCode>_-* #,##0.0_-;\-* #,##0.0_-;_-* "-"??_-;_-@_-</c:formatCode>
                <c:ptCount val="6"/>
                <c:pt idx="0">
                  <c:v>4927.7999200000004</c:v>
                </c:pt>
                <c:pt idx="1">
                  <c:v>4312.0996999999998</c:v>
                </c:pt>
                <c:pt idx="2">
                  <c:v>4355.8999999999996</c:v>
                </c:pt>
                <c:pt idx="3">
                  <c:v>3954.9002099999998</c:v>
                </c:pt>
                <c:pt idx="4">
                  <c:v>3854.6999900000001</c:v>
                </c:pt>
                <c:pt idx="5">
                  <c:v>4069.3001399999998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8-441F-B581-FF6DEED4E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6476805740899492"/>
          <c:y val="0.22109799873869868"/>
          <c:w val="0.68577910407115117"/>
          <c:h val="0.50179718146529939"/>
        </c:manualLayout>
      </c:layout>
      <c:barChart>
        <c:barDir val="col"/>
        <c:grouping val="clustered"/>
        <c:varyColors val="0"/>
        <c:ser>
          <c:idx val="0"/>
          <c:order val="0"/>
          <c:tx>
            <c:v>EPM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LICEOFRANCESSFV_GRAPHICS!$O$13:$O$18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LICEOFRANCESSFV_GRAPHICS!$P$13:$P$18</c:f>
              <c:numCache>
                <c:formatCode>"$"\ #,##0.00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E-4D3F-97D7-7DE242BAE161}"/>
            </c:ext>
          </c:extLst>
        </c:ser>
        <c:ser>
          <c:idx val="1"/>
          <c:order val="1"/>
          <c:tx>
            <c:v>CEN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LICEOFRANCESSFV_GRAPHICS!$O$13:$O$18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LICEOFRANCESSFV_GRAPHICS!$Q$13:$Q$18</c:f>
              <c:numCache>
                <c:formatCode>General</c:formatCode>
                <c:ptCount val="6"/>
                <c:pt idx="0">
                  <c:v>614.9</c:v>
                </c:pt>
                <c:pt idx="1">
                  <c:v>614.9</c:v>
                </c:pt>
                <c:pt idx="2">
                  <c:v>614.9</c:v>
                </c:pt>
                <c:pt idx="3">
                  <c:v>614.9</c:v>
                </c:pt>
                <c:pt idx="4">
                  <c:v>614.9</c:v>
                </c:pt>
                <c:pt idx="5">
                  <c:v>614.9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v>AHORRO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LICEOFRANCESSFV_GRAPHICS!$O$13:$O$18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LICEOFRANCESSFV_GRAPHICS!$R$13:$R$18</c:f>
              <c:numCache>
                <c:formatCode>"$"\ #,##0.00</c:formatCode>
                <c:ptCount val="6"/>
                <c:pt idx="0">
                  <c:v>1942045.9484720002</c:v>
                </c:pt>
                <c:pt idx="1">
                  <c:v>1551579.7140540001</c:v>
                </c:pt>
                <c:pt idx="2">
                  <c:v>1637557.0460000001</c:v>
                </c:pt>
                <c:pt idx="3">
                  <c:v>1558784.3687693998</c:v>
                </c:pt>
                <c:pt idx="4">
                  <c:v>1724824.0575253998</c:v>
                </c:pt>
                <c:pt idx="5">
                  <c:v>1330335.6017688003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layout>
            <c:manualLayout>
              <c:xMode val="edge"/>
              <c:yMode val="edge"/>
              <c:x val="1.1501961781671553E-3"/>
              <c:y val="0.384147345790028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0</xdr:rowOff>
    </xdr:from>
    <xdr:to>
      <xdr:col>9</xdr:col>
      <xdr:colOff>47625</xdr:colOff>
      <xdr:row>50</xdr:row>
      <xdr:rowOff>9525</xdr:rowOff>
    </xdr:to>
    <xdr:pic>
      <xdr:nvPicPr>
        <xdr:cNvPr id="31" name="bg object 16">
          <a:extLst>
            <a:ext uri="{FF2B5EF4-FFF2-40B4-BE49-F238E27FC236}">
              <a16:creationId xmlns:a16="http://schemas.microsoft.com/office/drawing/2014/main" id="{BE5DD954-CAAC-421D-BC96-EBCE185172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0"/>
          <a:ext cx="6919310" cy="9315559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D69F1BF6-52EA-49C1-A53A-2F14D1A2FE2C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92293</xdr:colOff>
      <xdr:row>8</xdr:row>
      <xdr:rowOff>86382</xdr:rowOff>
    </xdr:from>
    <xdr:to>
      <xdr:col>1</xdr:col>
      <xdr:colOff>748861</xdr:colOff>
      <xdr:row>9</xdr:row>
      <xdr:rowOff>85397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AAEAD0C4-1308-4DA7-914F-30C5B56CF08E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92293" y="1610382"/>
          <a:ext cx="1418568" cy="18951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275DEC24-2470-4AB6-9C99-9CA40C55DC6E}"/>
            </a:ext>
          </a:extLst>
        </xdr:cNvPr>
        <xdr:cNvSpPr/>
      </xdr:nvSpPr>
      <xdr:spPr>
        <a:xfrm>
          <a:off x="411137" y="2221674"/>
          <a:ext cx="1309370" cy="46926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19707</xdr:rowOff>
    </xdr:from>
    <xdr:to>
      <xdr:col>2</xdr:col>
      <xdr:colOff>130022</xdr:colOff>
      <xdr:row>13</xdr:row>
      <xdr:rowOff>44894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64ACEB3C-E755-4883-A310-6558E845A3BC}"/>
            </a:ext>
          </a:extLst>
        </xdr:cNvPr>
        <xdr:cNvSpPr txBox="1"/>
      </xdr:nvSpPr>
      <xdr:spPr>
        <a:xfrm>
          <a:off x="417042" y="2305707"/>
          <a:ext cx="1236980" cy="215687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36CCBFE4-9344-45A9-AD96-0B36F74EDB10}"/>
            </a:ext>
          </a:extLst>
        </xdr:cNvPr>
        <xdr:cNvSpPr/>
      </xdr:nvSpPr>
      <xdr:spPr>
        <a:xfrm>
          <a:off x="1792782" y="2221623"/>
          <a:ext cx="1278890" cy="46990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32845</xdr:rowOff>
    </xdr:from>
    <xdr:to>
      <xdr:col>3</xdr:col>
      <xdr:colOff>688708</xdr:colOff>
      <xdr:row>13</xdr:row>
      <xdr:rowOff>46113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16CC9862-5DE4-4881-A460-A28D13646242}"/>
            </a:ext>
          </a:extLst>
        </xdr:cNvPr>
        <xdr:cNvSpPr txBox="1"/>
      </xdr:nvSpPr>
      <xdr:spPr>
        <a:xfrm>
          <a:off x="1737728" y="2318845"/>
          <a:ext cx="1236980" cy="203768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322274</xdr:colOff>
      <xdr:row>13</xdr:row>
      <xdr:rowOff>30290</xdr:rowOff>
    </xdr:from>
    <xdr:to>
      <xdr:col>1</xdr:col>
      <xdr:colOff>680357</xdr:colOff>
      <xdr:row>14</xdr:row>
      <xdr:rowOff>137949</xdr:rowOff>
    </xdr:to>
    <xdr:sp macro="" textlink="$O$55">
      <xdr:nvSpPr>
        <xdr:cNvPr id="9" name="object 19">
          <a:extLst>
            <a:ext uri="{FF2B5EF4-FFF2-40B4-BE49-F238E27FC236}">
              <a16:creationId xmlns:a16="http://schemas.microsoft.com/office/drawing/2014/main" id="{2139CEC2-67C7-41DA-B620-9A8573E11C51}"/>
            </a:ext>
          </a:extLst>
        </xdr:cNvPr>
        <xdr:cNvSpPr txBox="1"/>
      </xdr:nvSpPr>
      <xdr:spPr>
        <a:xfrm>
          <a:off x="322274" y="2544031"/>
          <a:ext cx="1117218" cy="30102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26E46A58-D7DA-42D0-85D9-CCC27E23911B}" type="TxLink">
            <a:rPr lang="en-US" sz="1100" b="1" i="0" u="none" strike="noStrike" spc="5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100,00</a:t>
          </a:fld>
          <a:endParaRPr sz="1100" baseline="2222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1B0CD705-4AC4-464F-AD59-B46C1FB71BB1}"/>
            </a:ext>
          </a:extLst>
        </xdr:cNvPr>
        <xdr:cNvSpPr/>
      </xdr:nvSpPr>
      <xdr:spPr>
        <a:xfrm>
          <a:off x="78048" y="2836416"/>
          <a:ext cx="3382010" cy="153352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240937</xdr:colOff>
      <xdr:row>24</xdr:row>
      <xdr:rowOff>13938</xdr:rowOff>
    </xdr:from>
    <xdr:to>
      <xdr:col>3</xdr:col>
      <xdr:colOff>328450</xdr:colOff>
      <xdr:row>25</xdr:row>
      <xdr:rowOff>11118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E1DBB948-EDB7-425A-9B2D-08A166950E43}"/>
            </a:ext>
          </a:extLst>
        </xdr:cNvPr>
        <xdr:cNvSpPr txBox="1"/>
      </xdr:nvSpPr>
      <xdr:spPr>
        <a:xfrm>
          <a:off x="240937" y="4585938"/>
          <a:ext cx="2373513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r>
            <a:rPr lang="es-CO" sz="750" spc="5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233756</xdr:colOff>
      <xdr:row>28</xdr:row>
      <xdr:rowOff>84854</xdr:rowOff>
    </xdr:from>
    <xdr:to>
      <xdr:col>0</xdr:col>
      <xdr:colOff>737946</xdr:colOff>
      <xdr:row>29</xdr:row>
      <xdr:rowOff>48024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8BFDFB75-6305-4BCD-8761-8AF51FCF8239}"/>
            </a:ext>
          </a:extLst>
        </xdr:cNvPr>
        <xdr:cNvSpPr txBox="1"/>
      </xdr:nvSpPr>
      <xdr:spPr>
        <a:xfrm>
          <a:off x="233756" y="5418854"/>
          <a:ext cx="504190" cy="153670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709004</xdr:colOff>
      <xdr:row>28</xdr:row>
      <xdr:rowOff>54012</xdr:rowOff>
    </xdr:from>
    <xdr:to>
      <xdr:col>2</xdr:col>
      <xdr:colOff>128909</xdr:colOff>
      <xdr:row>29</xdr:row>
      <xdr:rowOff>25565</xdr:rowOff>
    </xdr:to>
    <xdr:sp macro="" textlink="$O$58">
      <xdr:nvSpPr>
        <xdr:cNvPr id="15" name="object 25">
          <a:extLst>
            <a:ext uri="{FF2B5EF4-FFF2-40B4-BE49-F238E27FC236}">
              <a16:creationId xmlns:a16="http://schemas.microsoft.com/office/drawing/2014/main" id="{ADD5F30E-D92C-4C02-9CA2-640F617B5E84}"/>
            </a:ext>
          </a:extLst>
        </xdr:cNvPr>
        <xdr:cNvSpPr txBox="1"/>
      </xdr:nvSpPr>
      <xdr:spPr>
        <a:xfrm>
          <a:off x="709004" y="5468223"/>
          <a:ext cx="938176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47C1EE14-6A30-4FF7-AFC5-18D0C2601C65}" type="TxLink">
            <a:rPr lang="en-US" sz="1000" b="1" i="0" u="none" strike="noStrike" spc="15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10.246,00</a:t>
          </a:fld>
          <a:endParaRPr sz="1000" b="1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227187</xdr:colOff>
      <xdr:row>29</xdr:row>
      <xdr:rowOff>53910</xdr:rowOff>
    </xdr:from>
    <xdr:to>
      <xdr:col>1</xdr:col>
      <xdr:colOff>177362</xdr:colOff>
      <xdr:row>29</xdr:row>
      <xdr:rowOff>190294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CD286C1C-0C35-4F18-B6FA-16DA8318121C}"/>
            </a:ext>
          </a:extLst>
        </xdr:cNvPr>
        <xdr:cNvSpPr txBox="1"/>
      </xdr:nvSpPr>
      <xdr:spPr>
        <a:xfrm>
          <a:off x="227187" y="5578410"/>
          <a:ext cx="712175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168757</xdr:colOff>
      <xdr:row>31</xdr:row>
      <xdr:rowOff>127419</xdr:rowOff>
    </xdr:from>
    <xdr:to>
      <xdr:col>2</xdr:col>
      <xdr:colOff>720586</xdr:colOff>
      <xdr:row>32</xdr:row>
      <xdr:rowOff>140978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2C749B35-6303-4F55-9ACE-95F660565139}"/>
            </a:ext>
            <a:ext uri="{147F2762-F138-4A5C-976F-8EAC2B608ADB}">
              <a16:predDERef xmlns:a16="http://schemas.microsoft.com/office/drawing/2014/main" pred="{CD286C1C-0C35-4F18-B6FA-16DA8318121C}"/>
            </a:ext>
          </a:extLst>
        </xdr:cNvPr>
        <xdr:cNvSpPr txBox="1"/>
      </xdr:nvSpPr>
      <xdr:spPr>
        <a:xfrm>
          <a:off x="168757" y="6032919"/>
          <a:ext cx="2075829" cy="204059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u="none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u="none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u="none" spc="5">
              <a:solidFill>
                <a:srgbClr val="2E463A"/>
              </a:solidFill>
              <a:latin typeface="Trebuchet MS"/>
              <a:cs typeface="Trebuchet MS"/>
            </a:rPr>
            <a:t>Total:	</a:t>
          </a:r>
          <a:endParaRPr sz="1275" u="none" baseline="3267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105841</xdr:colOff>
      <xdr:row>31</xdr:row>
      <xdr:rowOff>65697</xdr:rowOff>
    </xdr:from>
    <xdr:to>
      <xdr:col>4</xdr:col>
      <xdr:colOff>448741</xdr:colOff>
      <xdr:row>33</xdr:row>
      <xdr:rowOff>45983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EDBAB973-10EA-4D6F-B1E4-4E16AADDCA1F}"/>
            </a:ext>
          </a:extLst>
        </xdr:cNvPr>
        <xdr:cNvSpPr txBox="1"/>
      </xdr:nvSpPr>
      <xdr:spPr>
        <a:xfrm>
          <a:off x="2391841" y="5971197"/>
          <a:ext cx="1104900" cy="361286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03BC6042-4EE8-4789-9E7D-ED4C761BA7F7}"/>
            </a:ext>
          </a:extLst>
        </xdr:cNvPr>
        <xdr:cNvSpPr txBox="1"/>
      </xdr:nvSpPr>
      <xdr:spPr>
        <a:xfrm>
          <a:off x="2095551" y="7289914"/>
          <a:ext cx="1348105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5BA953C7-AE12-45B0-9E8C-7AE3AF99C478}"/>
            </a:ext>
          </a:extLst>
        </xdr:cNvPr>
        <xdr:cNvSpPr txBox="1"/>
      </xdr:nvSpPr>
      <xdr:spPr>
        <a:xfrm>
          <a:off x="2101392" y="7382243"/>
          <a:ext cx="847724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82492</xdr:colOff>
      <xdr:row>45</xdr:row>
      <xdr:rowOff>129318</xdr:rowOff>
    </xdr:from>
    <xdr:to>
      <xdr:col>4</xdr:col>
      <xdr:colOff>371417</xdr:colOff>
      <xdr:row>46</xdr:row>
      <xdr:rowOff>84533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910E4C62-4016-4554-99CD-90FC0B5FD1A3}"/>
            </a:ext>
          </a:extLst>
        </xdr:cNvPr>
        <xdr:cNvSpPr txBox="1"/>
      </xdr:nvSpPr>
      <xdr:spPr>
        <a:xfrm>
          <a:off x="82492" y="8701818"/>
          <a:ext cx="3336925" cy="14571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35295</xdr:rowOff>
    </xdr:from>
    <xdr:to>
      <xdr:col>3</xdr:col>
      <xdr:colOff>652577</xdr:colOff>
      <xdr:row>46</xdr:row>
      <xdr:rowOff>168980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301A2B42-D129-42A4-8714-6A23C07C05BC}"/>
            </a:ext>
          </a:extLst>
        </xdr:cNvPr>
        <xdr:cNvSpPr txBox="1"/>
      </xdr:nvSpPr>
      <xdr:spPr>
        <a:xfrm>
          <a:off x="495097" y="8447775"/>
          <a:ext cx="2534920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97751</xdr:colOff>
      <xdr:row>34</xdr:row>
      <xdr:rowOff>24409</xdr:rowOff>
    </xdr:from>
    <xdr:to>
      <xdr:col>4</xdr:col>
      <xdr:colOff>449541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7F32DD33-6665-406D-BAC7-757CF38ECAF3}"/>
            </a:ext>
          </a:extLst>
        </xdr:cNvPr>
        <xdr:cNvSpPr txBox="1"/>
      </xdr:nvSpPr>
      <xdr:spPr>
        <a:xfrm>
          <a:off x="97751" y="65014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6F118645-D733-45A9-81A7-CBA755D20FA6}"/>
            </a:ext>
          </a:extLst>
        </xdr:cNvPr>
        <xdr:cNvSpPr txBox="1"/>
      </xdr:nvSpPr>
      <xdr:spPr>
        <a:xfrm>
          <a:off x="3732326" y="5807659"/>
          <a:ext cx="3451860" cy="67564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95DB94F7-C470-4852-92C7-3DEFE8427400}"/>
            </a:ext>
          </a:extLst>
        </xdr:cNvPr>
        <xdr:cNvSpPr txBox="1"/>
      </xdr:nvSpPr>
      <xdr:spPr>
        <a:xfrm>
          <a:off x="3738804" y="6546126"/>
          <a:ext cx="3453130" cy="8445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5290C654-B647-45EA-8DB1-468303173A1B}"/>
            </a:ext>
          </a:extLst>
        </xdr:cNvPr>
        <xdr:cNvGrpSpPr/>
      </xdr:nvGrpSpPr>
      <xdr:grpSpPr>
        <a:xfrm>
          <a:off x="2117634" y="6032"/>
          <a:ext cx="4772364" cy="7791354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F19AAC8C-9763-AA1D-AEE8-83BC33C83359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6020B09A-9DCA-A83B-CBB6-7E91E8BCC09D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C2667DC8-609F-1959-219E-51E129F7A4FD}"/>
              </a:ext>
            </a:extLst>
          </xdr:cNvPr>
          <xdr:cNvSpPr/>
        </xdr:nvSpPr>
        <xdr:spPr>
          <a:xfrm>
            <a:off x="4235703" y="2206015"/>
            <a:ext cx="1250950" cy="484505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E4C23C58-82E1-1D7F-31C2-EE454A137E80}"/>
              </a:ext>
            </a:extLst>
          </xdr:cNvPr>
          <xdr:cNvSpPr/>
        </xdr:nvSpPr>
        <xdr:spPr>
          <a:xfrm>
            <a:off x="4230877" y="2200554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4</xdr:col>
      <xdr:colOff>565200</xdr:colOff>
      <xdr:row>40</xdr:row>
      <xdr:rowOff>151497</xdr:rowOff>
    </xdr:from>
    <xdr:to>
      <xdr:col>9</xdr:col>
      <xdr:colOff>33070</xdr:colOff>
      <xdr:row>47</xdr:row>
      <xdr:rowOff>45982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CA5C79DB-CA00-4182-B933-7ECAAADC4DE3}"/>
            </a:ext>
          </a:extLst>
        </xdr:cNvPr>
        <xdr:cNvSpPr txBox="1"/>
      </xdr:nvSpPr>
      <xdr:spPr>
        <a:xfrm>
          <a:off x="3613200" y="7771497"/>
          <a:ext cx="3304146" cy="1227985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</a:t>
          </a:r>
          <a:r>
            <a:rPr lang="es-CO" sz="550" b="1" baseline="0">
              <a:solidFill>
                <a:srgbClr val="2E463A"/>
              </a:solidFill>
              <a:latin typeface="Calibri"/>
              <a:cs typeface="Calibri"/>
            </a:rPr>
            <a:t>   </a:t>
          </a:r>
          <a:endParaRPr sz="825" baseline="5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0B5F08FC-027D-4973-93C0-1FF793F4BE7E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D28D497F-FB92-43D0-AD46-AEDE90E83FAF}"/>
            </a:ext>
          </a:extLst>
        </xdr:cNvPr>
        <xdr:cNvGrpSpPr/>
      </xdr:nvGrpSpPr>
      <xdr:grpSpPr>
        <a:xfrm>
          <a:off x="5243584" y="1331346"/>
          <a:ext cx="1256016" cy="498750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3A96B9AD-D9AA-7826-B04F-35045D904E91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3DF79923-8B93-3B5A-3DD9-CF3670FA7192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8CAA49CA-9BD7-44B1-960E-5158FA7115CC}"/>
            </a:ext>
          </a:extLst>
        </xdr:cNvPr>
        <xdr:cNvSpPr txBox="1"/>
      </xdr:nvSpPr>
      <xdr:spPr>
        <a:xfrm>
          <a:off x="5669584" y="1281620"/>
          <a:ext cx="91567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16FF8AA3-AAAC-41FD-865B-DDDCD93A5EB0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709005</xdr:colOff>
      <xdr:row>8</xdr:row>
      <xdr:rowOff>24506</xdr:rowOff>
    </xdr:from>
    <xdr:to>
      <xdr:col>8</xdr:col>
      <xdr:colOff>415376</xdr:colOff>
      <xdr:row>9</xdr:row>
      <xdr:rowOff>2277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2F8C3EB1-91F5-45DC-97EC-56E125309CB4}"/>
            </a:ext>
          </a:extLst>
        </xdr:cNvPr>
        <xdr:cNvSpPr txBox="1"/>
      </xdr:nvSpPr>
      <xdr:spPr>
        <a:xfrm>
          <a:off x="5263817" y="1571423"/>
          <a:ext cx="1224642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7D117901-43A5-44E0-A517-4C67668F5779}" type="TxLink">
            <a:rPr lang="en-US" sz="1050" b="1" i="0" u="none" strike="noStrike" kern="1200" spc="-70">
              <a:solidFill>
                <a:srgbClr val="34523B"/>
              </a:solidFill>
              <a:latin typeface="Trebuchet MS"/>
              <a:ea typeface="Calibri"/>
              <a:cs typeface="Calibri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$ 50,00</a:t>
          </a:fld>
          <a:endParaRPr sz="1050" b="1" kern="1200" spc="-70">
            <a:solidFill>
              <a:srgbClr val="34523B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AF5B6353-89FB-4F84-AAAE-627334EA7F0C}"/>
            </a:ext>
          </a:extLst>
        </xdr:cNvPr>
        <xdr:cNvSpPr/>
      </xdr:nvSpPr>
      <xdr:spPr>
        <a:xfrm>
          <a:off x="4090995" y="5064382"/>
          <a:ext cx="1300813" cy="46484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2B497CE9-A3FA-40C1-BB93-909C41CAE9F9}"/>
            </a:ext>
          </a:extLst>
        </xdr:cNvPr>
        <xdr:cNvSpPr/>
      </xdr:nvSpPr>
      <xdr:spPr>
        <a:xfrm>
          <a:off x="3934626" y="5265180"/>
          <a:ext cx="1282239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687FB9D8-3DB1-4570-9939-55FDD4ED31CA}"/>
            </a:ext>
          </a:extLst>
        </xdr:cNvPr>
        <xdr:cNvSpPr/>
      </xdr:nvSpPr>
      <xdr:spPr>
        <a:xfrm>
          <a:off x="5465098" y="5064321"/>
          <a:ext cx="1299208" cy="46607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303F0244-1F39-4EC2-B094-C6A09FFC0F69}"/>
            </a:ext>
          </a:extLst>
        </xdr:cNvPr>
        <xdr:cNvSpPr/>
      </xdr:nvSpPr>
      <xdr:spPr>
        <a:xfrm>
          <a:off x="5461129" y="5060398"/>
          <a:ext cx="1311114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7</xdr:col>
      <xdr:colOff>23711</xdr:colOff>
      <xdr:row>27</xdr:row>
      <xdr:rowOff>90649</xdr:rowOff>
    </xdr:from>
    <xdr:to>
      <xdr:col>8</xdr:col>
      <xdr:colOff>386296</xdr:colOff>
      <xdr:row>29</xdr:row>
      <xdr:rowOff>172533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359CA68A-F010-4CC1-A913-52BB18D99B3E}"/>
            </a:ext>
          </a:extLst>
        </xdr:cNvPr>
        <xdr:cNvSpPr txBox="1"/>
      </xdr:nvSpPr>
      <xdr:spPr>
        <a:xfrm>
          <a:off x="5357711" y="5234149"/>
          <a:ext cx="1124585" cy="46288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0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716939</xdr:colOff>
      <xdr:row>43</xdr:row>
      <xdr:rowOff>163067</xdr:rowOff>
    </xdr:from>
    <xdr:to>
      <xdr:col>4</xdr:col>
      <xdr:colOff>216559</xdr:colOff>
      <xdr:row>45</xdr:row>
      <xdr:rowOff>38718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D0106006-4EE1-457A-A213-46459AD35ABE}"/>
            </a:ext>
          </a:extLst>
        </xdr:cNvPr>
        <xdr:cNvSpPr txBox="1"/>
      </xdr:nvSpPr>
      <xdr:spPr>
        <a:xfrm>
          <a:off x="716939" y="8354567"/>
          <a:ext cx="2547620" cy="256651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KM 10 VIA EL ESCOBERO</a:t>
          </a:r>
        </a:p>
      </xdr:txBody>
    </xdr:sp>
    <xdr:clientData/>
  </xdr:twoCellAnchor>
  <xdr:twoCellAnchor>
    <xdr:from>
      <xdr:col>0</xdr:col>
      <xdr:colOff>72259</xdr:colOff>
      <xdr:row>41</xdr:row>
      <xdr:rowOff>109975</xdr:rowOff>
    </xdr:from>
    <xdr:to>
      <xdr:col>3</xdr:col>
      <xdr:colOff>597776</xdr:colOff>
      <xdr:row>44</xdr:row>
      <xdr:rowOff>22582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F0D84CC1-BB82-494B-86AD-D8793ED58FE9}"/>
            </a:ext>
          </a:extLst>
        </xdr:cNvPr>
        <xdr:cNvSpPr txBox="1"/>
      </xdr:nvSpPr>
      <xdr:spPr>
        <a:xfrm>
          <a:off x="72259" y="7920475"/>
          <a:ext cx="2811517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lang="es-CO" sz="800" b="1" spc="15" baseline="0">
            <a:solidFill>
              <a:srgbClr val="22362C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3086">
              <a:solidFill>
                <a:srgbClr val="2E463A"/>
              </a:solidFill>
              <a:latin typeface="Trebuchet MS"/>
              <a:cs typeface="Trebuchet MS"/>
            </a:rPr>
            <a:t>Nit:</a:t>
          </a:r>
          <a:r>
            <a:rPr sz="1350" b="1" spc="375" baseline="3086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7" baseline="3086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88177</xdr:colOff>
      <xdr:row>44</xdr:row>
      <xdr:rowOff>40059</xdr:rowOff>
    </xdr:from>
    <xdr:to>
      <xdr:col>0</xdr:col>
      <xdr:colOff>680632</xdr:colOff>
      <xdr:row>45</xdr:row>
      <xdr:rowOff>31169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C8DA8123-016F-4A52-BDD8-257F59168C32}"/>
            </a:ext>
          </a:extLst>
        </xdr:cNvPr>
        <xdr:cNvSpPr txBox="1"/>
      </xdr:nvSpPr>
      <xdr:spPr>
        <a:xfrm>
          <a:off x="88177" y="8422059"/>
          <a:ext cx="592455" cy="18161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90480</xdr:colOff>
      <xdr:row>38</xdr:row>
      <xdr:rowOff>35187</xdr:rowOff>
    </xdr:from>
    <xdr:to>
      <xdr:col>2</xdr:col>
      <xdr:colOff>237</xdr:colOff>
      <xdr:row>41</xdr:row>
      <xdr:rowOff>144449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636ECC25-70BA-4CF8-93F5-40325977130E}"/>
            </a:ext>
          </a:extLst>
        </xdr:cNvPr>
        <xdr:cNvSpPr txBox="1"/>
      </xdr:nvSpPr>
      <xdr:spPr>
        <a:xfrm>
          <a:off x="90480" y="7383044"/>
          <a:ext cx="1428028" cy="689356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endParaRPr sz="800">
            <a:solidFill>
              <a:srgbClr val="34523B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8FA7A12B-B084-4C53-B24A-322800E40274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135429</xdr:colOff>
      <xdr:row>3</xdr:row>
      <xdr:rowOff>100037</xdr:rowOff>
    </xdr:from>
    <xdr:to>
      <xdr:col>7</xdr:col>
      <xdr:colOff>568872</xdr:colOff>
      <xdr:row>5</xdr:row>
      <xdr:rowOff>62016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AF753FF9-0D79-4577-A446-8743FF296E3D}"/>
            </a:ext>
          </a:extLst>
        </xdr:cNvPr>
        <xdr:cNvSpPr txBox="1"/>
      </xdr:nvSpPr>
      <xdr:spPr>
        <a:xfrm>
          <a:off x="3945429" y="671537"/>
          <a:ext cx="1957443" cy="342979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lang="es-CO" sz="1000" b="1" spc="5">
            <a:solidFill>
              <a:srgbClr val="2E463A"/>
            </a:solidFill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550325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E1E39603-D960-46CE-A377-F8B4EA3DF01E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FAFF50C1-77E7-4B3F-A2AE-E67D4AA15774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234474" y="4226676"/>
          <a:ext cx="677802" cy="53007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54357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509CEF99-BD60-4F21-A983-13A557AD045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492486" cy="104442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0C64871C-FDA2-490C-A249-CAD6DF3BCBC0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AC491A11-34EC-4502-91D9-3E46E8374658}"/>
            </a:ext>
          </a:extLst>
        </xdr:cNvPr>
        <xdr:cNvSpPr txBox="1"/>
      </xdr:nvSpPr>
      <xdr:spPr>
        <a:xfrm>
          <a:off x="3845980" y="4186031"/>
          <a:ext cx="2091690" cy="67564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588176</xdr:colOff>
      <xdr:row>6</xdr:row>
      <xdr:rowOff>91530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931C7C13-72DD-4C9B-9EA9-15E50CC1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114465</xdr:colOff>
      <xdr:row>15</xdr:row>
      <xdr:rowOff>49281</xdr:rowOff>
    </xdr:from>
    <xdr:to>
      <xdr:col>4</xdr:col>
      <xdr:colOff>458193</xdr:colOff>
      <xdr:row>24</xdr:row>
      <xdr:rowOff>92103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44353930-3D9C-4198-9256-D82D5F374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143233</xdr:colOff>
      <xdr:row>8</xdr:row>
      <xdr:rowOff>17830</xdr:rowOff>
    </xdr:from>
    <xdr:to>
      <xdr:col>6</xdr:col>
      <xdr:colOff>630226</xdr:colOff>
      <xdr:row>8</xdr:row>
      <xdr:rowOff>188966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2F995A4A-6FBB-45FD-BC80-2040E33C6C0C}"/>
            </a:ext>
          </a:extLst>
        </xdr:cNvPr>
        <xdr:cNvSpPr txBox="1"/>
      </xdr:nvSpPr>
      <xdr:spPr>
        <a:xfrm>
          <a:off x="3938910" y="1564747"/>
          <a:ext cx="1246128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9367ADA1-9A4E-478E-A436-F50DFB0C6B9D}" type="TxLink">
            <a:rPr lang="en-US" sz="1050" b="1" i="0" u="none" strike="noStrike" spc="-70">
              <a:solidFill>
                <a:srgbClr val="34523B"/>
              </a:solidFill>
              <a:latin typeface="Trebuchet MS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$ 5,00</a:t>
          </a:fld>
          <a:endParaRPr sz="1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661767</xdr:colOff>
      <xdr:row>13</xdr:row>
      <xdr:rowOff>22860</xdr:rowOff>
    </xdr:from>
    <xdr:to>
      <xdr:col>8</xdr:col>
      <xdr:colOff>680356</xdr:colOff>
      <xdr:row>23</xdr:row>
      <xdr:rowOff>38099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B2634D80-019A-4079-9C1B-027BCF874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131379</xdr:colOff>
      <xdr:row>8</xdr:row>
      <xdr:rowOff>109482</xdr:rowOff>
    </xdr:from>
    <xdr:to>
      <xdr:col>3</xdr:col>
      <xdr:colOff>120432</xdr:colOff>
      <xdr:row>9</xdr:row>
      <xdr:rowOff>120431</xdr:rowOff>
    </xdr:to>
    <xdr:sp macro="" textlink="$O$52">
      <xdr:nvSpPr>
        <xdr:cNvPr id="62" name="object 3">
          <a:extLst>
            <a:ext uri="{FF2B5EF4-FFF2-40B4-BE49-F238E27FC236}">
              <a16:creationId xmlns:a16="http://schemas.microsoft.com/office/drawing/2014/main" id="{240DA9F6-9121-49D5-BEFF-16AD93923C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664138" y="1598448"/>
          <a:ext cx="755432" cy="197069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5D8F90C2-3C0D-4421-8A48-651C7DB63858}" type="TxLink">
            <a:rPr lang="en-US" sz="850" b="1" i="0" u="none" strike="noStrike" spc="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1/01/2023</a:t>
          </a:fld>
          <a:endParaRPr sz="8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48937</xdr:colOff>
      <xdr:row>8</xdr:row>
      <xdr:rowOff>102148</xdr:rowOff>
    </xdr:from>
    <xdr:to>
      <xdr:col>4</xdr:col>
      <xdr:colOff>120430</xdr:colOff>
      <xdr:row>9</xdr:row>
      <xdr:rowOff>98535</xdr:rowOff>
    </xdr:to>
    <xdr:sp macro="" textlink="$O$53">
      <xdr:nvSpPr>
        <xdr:cNvPr id="65" name="object 3">
          <a:extLst>
            <a:ext uri="{FF2B5EF4-FFF2-40B4-BE49-F238E27FC236}">
              <a16:creationId xmlns:a16="http://schemas.microsoft.com/office/drawing/2014/main" id="{2F742C9D-E0AF-47B7-B424-5207224734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2348075" y="1591114"/>
          <a:ext cx="837872" cy="182507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CDDE01D9-DDA1-4529-9C47-46110B826992}" type="TxLink">
            <a:rPr lang="en-US" sz="85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31/01/2023</a:t>
          </a:fld>
          <a:endParaRPr sz="85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420413</xdr:colOff>
      <xdr:row>8</xdr:row>
      <xdr:rowOff>95579</xdr:rowOff>
    </xdr:from>
    <xdr:to>
      <xdr:col>3</xdr:col>
      <xdr:colOff>144516</xdr:colOff>
      <xdr:row>9</xdr:row>
      <xdr:rowOff>94594</xdr:rowOff>
    </xdr:to>
    <xdr:sp macro="" textlink="">
      <xdr:nvSpPr>
        <xdr:cNvPr id="66" name="object 3">
          <a:extLst>
            <a:ext uri="{FF2B5EF4-FFF2-40B4-BE49-F238E27FC236}">
              <a16:creationId xmlns:a16="http://schemas.microsoft.com/office/drawing/2014/main" id="{A7DC42BB-47DE-4F70-8040-C6AFE63A582A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953172" y="1584545"/>
          <a:ext cx="490482" cy="18513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lang="es-CO" sz="850" b="1" spc="0" baseline="0">
              <a:solidFill>
                <a:srgbClr val="22362C"/>
              </a:solidFill>
              <a:latin typeface="Trebuchet MS"/>
              <a:cs typeface="Trebuchet MS"/>
            </a:rPr>
            <a:t>         -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128909</xdr:colOff>
      <xdr:row>13</xdr:row>
      <xdr:rowOff>91666</xdr:rowOff>
    </xdr:from>
    <xdr:to>
      <xdr:col>3</xdr:col>
      <xdr:colOff>472669</xdr:colOff>
      <xdr:row>14</xdr:row>
      <xdr:rowOff>76236</xdr:rowOff>
    </xdr:to>
    <xdr:sp macro="" textlink="$O$56">
      <xdr:nvSpPr>
        <xdr:cNvPr id="67" name="object 19">
          <a:extLst>
            <a:ext uri="{FF2B5EF4-FFF2-40B4-BE49-F238E27FC236}">
              <a16:creationId xmlns:a16="http://schemas.microsoft.com/office/drawing/2014/main" id="{13862F84-F92F-40AC-817C-BEAB718B5C54}"/>
            </a:ext>
          </a:extLst>
        </xdr:cNvPr>
        <xdr:cNvSpPr txBox="1"/>
      </xdr:nvSpPr>
      <xdr:spPr>
        <a:xfrm>
          <a:off x="1647180" y="2605407"/>
          <a:ext cx="1102895" cy="177934"/>
        </a:xfrm>
        <a:prstGeom prst="rect">
          <a:avLst/>
        </a:prstGeom>
      </xdr:spPr>
      <xdr:txBody>
        <a:bodyPr vert="horz" wrap="square" lIns="0" tIns="13970" rIns="0" bIns="0" rtlCol="0" anchor="ctr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A9E6A02F-384C-4AFB-99E1-D64FD8FEEF27}" type="TxLink">
            <a:rPr lang="en-US" sz="1100" b="1" i="0" u="none" strike="noStrike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1.000,00</a:t>
          </a:fld>
          <a:endParaRPr sz="1100" baseline="2222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572932</xdr:colOff>
      <xdr:row>13</xdr:row>
      <xdr:rowOff>39357</xdr:rowOff>
    </xdr:from>
    <xdr:to>
      <xdr:col>2</xdr:col>
      <xdr:colOff>130737</xdr:colOff>
      <xdr:row>14</xdr:row>
      <xdr:rowOff>147016</xdr:rowOff>
    </xdr:to>
    <xdr:sp macro="" textlink="">
      <xdr:nvSpPr>
        <xdr:cNvPr id="68" name="object 19">
          <a:extLst>
            <a:ext uri="{FF2B5EF4-FFF2-40B4-BE49-F238E27FC236}">
              <a16:creationId xmlns:a16="http://schemas.microsoft.com/office/drawing/2014/main" id="{02CFB25E-3975-4B71-8F28-74B2D154194D}"/>
            </a:ext>
          </a:extLst>
        </xdr:cNvPr>
        <xdr:cNvSpPr txBox="1"/>
      </xdr:nvSpPr>
      <xdr:spPr>
        <a:xfrm>
          <a:off x="1332067" y="2553098"/>
          <a:ext cx="316941" cy="30102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sz="1875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386728</xdr:colOff>
      <xdr:row>13</xdr:row>
      <xdr:rowOff>34695</xdr:rowOff>
    </xdr:from>
    <xdr:to>
      <xdr:col>3</xdr:col>
      <xdr:colOff>716165</xdr:colOff>
      <xdr:row>14</xdr:row>
      <xdr:rowOff>142354</xdr:rowOff>
    </xdr:to>
    <xdr:sp macro="" textlink="">
      <xdr:nvSpPr>
        <xdr:cNvPr id="69" name="object 19">
          <a:extLst>
            <a:ext uri="{FF2B5EF4-FFF2-40B4-BE49-F238E27FC236}">
              <a16:creationId xmlns:a16="http://schemas.microsoft.com/office/drawing/2014/main" id="{515A081C-81AC-44A3-A2A1-EDFED05DF3A5}"/>
            </a:ext>
          </a:extLst>
        </xdr:cNvPr>
        <xdr:cNvSpPr txBox="1"/>
      </xdr:nvSpPr>
      <xdr:spPr>
        <a:xfrm>
          <a:off x="2664134" y="2548436"/>
          <a:ext cx="329437" cy="30102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sz="1875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716166</xdr:colOff>
      <xdr:row>27</xdr:row>
      <xdr:rowOff>128910</xdr:rowOff>
    </xdr:from>
    <xdr:to>
      <xdr:col>8</xdr:col>
      <xdr:colOff>454115</xdr:colOff>
      <xdr:row>30</xdr:row>
      <xdr:rowOff>36339</xdr:rowOff>
    </xdr:to>
    <xdr:sp macro="" textlink="">
      <xdr:nvSpPr>
        <xdr:cNvPr id="78" name="object 80">
          <a:extLst>
            <a:ext uri="{FF2B5EF4-FFF2-40B4-BE49-F238E27FC236}">
              <a16:creationId xmlns:a16="http://schemas.microsoft.com/office/drawing/2014/main" id="{8CEE2422-1780-4938-B498-E2BB006B1C33}"/>
            </a:ext>
          </a:extLst>
        </xdr:cNvPr>
        <xdr:cNvSpPr txBox="1"/>
      </xdr:nvSpPr>
      <xdr:spPr>
        <a:xfrm>
          <a:off x="6030113" y="5349756"/>
          <a:ext cx="497085" cy="487523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265309</xdr:colOff>
      <xdr:row>27</xdr:row>
      <xdr:rowOff>103186</xdr:rowOff>
    </xdr:from>
    <xdr:to>
      <xdr:col>6</xdr:col>
      <xdr:colOff>627893</xdr:colOff>
      <xdr:row>29</xdr:row>
      <xdr:rowOff>185711</xdr:rowOff>
    </xdr:to>
    <xdr:sp macro="" textlink="">
      <xdr:nvSpPr>
        <xdr:cNvPr id="79" name="object 80">
          <a:extLst>
            <a:ext uri="{FF2B5EF4-FFF2-40B4-BE49-F238E27FC236}">
              <a16:creationId xmlns:a16="http://schemas.microsoft.com/office/drawing/2014/main" id="{29B5175B-F781-4EE8-BF9A-85300AC60F79}"/>
            </a:ext>
          </a:extLst>
        </xdr:cNvPr>
        <xdr:cNvSpPr txBox="1"/>
      </xdr:nvSpPr>
      <xdr:spPr>
        <a:xfrm>
          <a:off x="4075309" y="5246686"/>
          <a:ext cx="1124584" cy="463525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250" b="1" spc="15">
              <a:solidFill>
                <a:srgbClr val="22362C"/>
              </a:solidFill>
              <a:latin typeface="Trebuchet MS"/>
              <a:cs typeface="Trebuchet MS"/>
            </a:rPr>
            <a:t>  </a:t>
          </a: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179041</xdr:colOff>
      <xdr:row>27</xdr:row>
      <xdr:rowOff>121748</xdr:rowOff>
    </xdr:from>
    <xdr:to>
      <xdr:col>6</xdr:col>
      <xdr:colOff>680316</xdr:colOff>
      <xdr:row>30</xdr:row>
      <xdr:rowOff>22801</xdr:rowOff>
    </xdr:to>
    <xdr:sp macro="" textlink="">
      <xdr:nvSpPr>
        <xdr:cNvPr id="81" name="object 80">
          <a:extLst>
            <a:ext uri="{FF2B5EF4-FFF2-40B4-BE49-F238E27FC236}">
              <a16:creationId xmlns:a16="http://schemas.microsoft.com/office/drawing/2014/main" id="{D9A4D0E9-501F-4FBE-961F-AE5D680B26AB}"/>
            </a:ext>
          </a:extLst>
        </xdr:cNvPr>
        <xdr:cNvSpPr txBox="1"/>
      </xdr:nvSpPr>
      <xdr:spPr>
        <a:xfrm>
          <a:off x="4733853" y="5342594"/>
          <a:ext cx="501275" cy="481147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101284</xdr:colOff>
      <xdr:row>9</xdr:row>
      <xdr:rowOff>95926</xdr:rowOff>
    </xdr:from>
    <xdr:to>
      <xdr:col>1</xdr:col>
      <xdr:colOff>426982</xdr:colOff>
      <xdr:row>10</xdr:row>
      <xdr:rowOff>149660</xdr:rowOff>
    </xdr:to>
    <xdr:sp macro="" textlink="">
      <xdr:nvSpPr>
        <xdr:cNvPr id="83" name="object 41">
          <a:extLst>
            <a:ext uri="{FF2B5EF4-FFF2-40B4-BE49-F238E27FC236}">
              <a16:creationId xmlns:a16="http://schemas.microsoft.com/office/drawing/2014/main" id="{4A4C606D-AE5F-41D6-8BFB-0076872E5484}"/>
            </a:ext>
          </a:extLst>
        </xdr:cNvPr>
        <xdr:cNvSpPr txBox="1"/>
      </xdr:nvSpPr>
      <xdr:spPr>
        <a:xfrm>
          <a:off x="101284" y="1810426"/>
          <a:ext cx="1087698" cy="244234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</a:t>
          </a:r>
          <a:endParaRPr lang="es-MX" sz="850" b="1" spc="15" baseline="0">
            <a:solidFill>
              <a:srgbClr val="22362C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441519</xdr:colOff>
      <xdr:row>9</xdr:row>
      <xdr:rowOff>105999</xdr:rowOff>
    </xdr:from>
    <xdr:to>
      <xdr:col>1</xdr:col>
      <xdr:colOff>686025</xdr:colOff>
      <xdr:row>10</xdr:row>
      <xdr:rowOff>126262</xdr:rowOff>
    </xdr:to>
    <xdr:sp macro="" textlink="$O$54">
      <xdr:nvSpPr>
        <xdr:cNvPr id="84" name="object 41">
          <a:extLst>
            <a:ext uri="{FF2B5EF4-FFF2-40B4-BE49-F238E27FC236}">
              <a16:creationId xmlns:a16="http://schemas.microsoft.com/office/drawing/2014/main" id="{4477411E-196F-49E5-BE74-577B9D5F6BBE}"/>
            </a:ext>
          </a:extLst>
        </xdr:cNvPr>
        <xdr:cNvSpPr txBox="1"/>
      </xdr:nvSpPr>
      <xdr:spPr>
        <a:xfrm>
          <a:off x="1203519" y="1820499"/>
          <a:ext cx="244506" cy="210763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fld id="{143C8B3B-E59D-45BB-9462-B2B27DC423CC}" type="TxLink">
            <a:rPr lang="en-US" sz="1200" b="1" i="0" u="none" strike="noStrike" spc="22" baseline="2923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250"/>
              </a:spcBef>
            </a:pPr>
            <a:t>30</a:t>
          </a:fld>
          <a:endParaRPr sz="1200" b="1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97344</xdr:colOff>
      <xdr:row>10</xdr:row>
      <xdr:rowOff>170813</xdr:rowOff>
    </xdr:from>
    <xdr:to>
      <xdr:col>0</xdr:col>
      <xdr:colOff>591207</xdr:colOff>
      <xdr:row>11</xdr:row>
      <xdr:rowOff>153822</xdr:rowOff>
    </xdr:to>
    <xdr:sp macro="" textlink="">
      <xdr:nvSpPr>
        <xdr:cNvPr id="85" name="object 41">
          <a:extLst>
            <a:ext uri="{FF2B5EF4-FFF2-40B4-BE49-F238E27FC236}">
              <a16:creationId xmlns:a16="http://schemas.microsoft.com/office/drawing/2014/main" id="{49C70A70-880D-4036-A7EC-36B66B1B2C1B}"/>
            </a:ext>
          </a:extLst>
        </xdr:cNvPr>
        <xdr:cNvSpPr txBox="1"/>
      </xdr:nvSpPr>
      <xdr:spPr>
        <a:xfrm>
          <a:off x="97344" y="2075813"/>
          <a:ext cx="493863" cy="173509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568659</xdr:colOff>
      <xdr:row>10</xdr:row>
      <xdr:rowOff>125551</xdr:rowOff>
    </xdr:from>
    <xdr:to>
      <xdr:col>2</xdr:col>
      <xdr:colOff>332053</xdr:colOff>
      <xdr:row>11</xdr:row>
      <xdr:rowOff>172507</xdr:rowOff>
    </xdr:to>
    <xdr:sp macro="" textlink="">
      <xdr:nvSpPr>
        <xdr:cNvPr id="86" name="object 41">
          <a:extLst>
            <a:ext uri="{FF2B5EF4-FFF2-40B4-BE49-F238E27FC236}">
              <a16:creationId xmlns:a16="http://schemas.microsoft.com/office/drawing/2014/main" id="{AC6F3C7A-0B8B-44CD-A6A9-2D978877E2A6}"/>
            </a:ext>
          </a:extLst>
        </xdr:cNvPr>
        <xdr:cNvSpPr txBox="1"/>
      </xdr:nvSpPr>
      <xdr:spPr>
        <a:xfrm>
          <a:off x="568659" y="2059198"/>
          <a:ext cx="1281665" cy="240320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lang="es-MX" sz="1350" b="1" kern="1200" spc="0" baseline="3086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t>LICEO FRANCES</a:t>
          </a:r>
          <a:endParaRPr sz="1350" b="1" kern="1200" spc="0" baseline="3086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128908</xdr:colOff>
      <xdr:row>28</xdr:row>
      <xdr:rowOff>107424</xdr:rowOff>
    </xdr:from>
    <xdr:to>
      <xdr:col>6</xdr:col>
      <xdr:colOff>244650</xdr:colOff>
      <xdr:row>30</xdr:row>
      <xdr:rowOff>50724</xdr:rowOff>
    </xdr:to>
    <xdr:sp macro="" textlink="$O$67">
      <xdr:nvSpPr>
        <xdr:cNvPr id="87" name="object 19">
          <a:extLst>
            <a:ext uri="{FF2B5EF4-FFF2-40B4-BE49-F238E27FC236}">
              <a16:creationId xmlns:a16="http://schemas.microsoft.com/office/drawing/2014/main" id="{1769AEBF-9383-409E-B88C-7DC2EAB243D1}"/>
            </a:ext>
          </a:extLst>
        </xdr:cNvPr>
        <xdr:cNvSpPr txBox="1"/>
      </xdr:nvSpPr>
      <xdr:spPr>
        <a:xfrm>
          <a:off x="3924585" y="5521635"/>
          <a:ext cx="874877" cy="330029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59B75E6E-97D4-4114-A35D-767B3E289EE0}" type="TxLink">
            <a:rPr lang="en-US" sz="1050" b="1" i="0" u="none" strike="noStrike" spc="5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1.000,00</a:t>
          </a:fld>
          <a:endParaRPr sz="1050" baseline="2222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709004</xdr:colOff>
      <xdr:row>28</xdr:row>
      <xdr:rowOff>128310</xdr:rowOff>
    </xdr:from>
    <xdr:to>
      <xdr:col>8</xdr:col>
      <xdr:colOff>32615</xdr:colOff>
      <xdr:row>30</xdr:row>
      <xdr:rowOff>45469</xdr:rowOff>
    </xdr:to>
    <xdr:sp macro="" textlink="$O$68">
      <xdr:nvSpPr>
        <xdr:cNvPr id="88" name="object 19">
          <a:extLst>
            <a:ext uri="{FF2B5EF4-FFF2-40B4-BE49-F238E27FC236}">
              <a16:creationId xmlns:a16="http://schemas.microsoft.com/office/drawing/2014/main" id="{D8999F7D-E42B-46C2-9B96-C2E0EE81B090}"/>
            </a:ext>
          </a:extLst>
        </xdr:cNvPr>
        <xdr:cNvSpPr txBox="1"/>
      </xdr:nvSpPr>
      <xdr:spPr>
        <a:xfrm>
          <a:off x="5263816" y="5542521"/>
          <a:ext cx="841882" cy="303888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B8EB0C98-E9DF-4299-9FE3-383A7357C8FC}" type="TxLink">
            <a:rPr lang="en-US" sz="1050" b="1" i="0" u="none" strike="noStrike" spc="5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1.500,00</a:t>
          </a:fld>
          <a:endParaRPr sz="1050" baseline="2222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723724</xdr:colOff>
      <xdr:row>28</xdr:row>
      <xdr:rowOff>59212</xdr:rowOff>
    </xdr:from>
    <xdr:to>
      <xdr:col>2</xdr:col>
      <xdr:colOff>580091</xdr:colOff>
      <xdr:row>29</xdr:row>
      <xdr:rowOff>30765</xdr:rowOff>
    </xdr:to>
    <xdr:sp macro="" textlink="">
      <xdr:nvSpPr>
        <xdr:cNvPr id="89" name="object 25">
          <a:extLst>
            <a:ext uri="{FF2B5EF4-FFF2-40B4-BE49-F238E27FC236}">
              <a16:creationId xmlns:a16="http://schemas.microsoft.com/office/drawing/2014/main" id="{E126750B-8647-4613-8302-FBE7FFA03D20}"/>
            </a:ext>
          </a:extLst>
        </xdr:cNvPr>
        <xdr:cNvSpPr txBox="1"/>
      </xdr:nvSpPr>
      <xdr:spPr>
        <a:xfrm>
          <a:off x="1482859" y="5473423"/>
          <a:ext cx="615503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</a:t>
          </a:r>
          <a:r>
            <a:rPr lang="es-CO"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W</a:t>
          </a:r>
          <a:r>
            <a:rPr sz="100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h</a:t>
          </a:r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150395</xdr:colOff>
      <xdr:row>29</xdr:row>
      <xdr:rowOff>32135</xdr:rowOff>
    </xdr:from>
    <xdr:to>
      <xdr:col>2</xdr:col>
      <xdr:colOff>531207</xdr:colOff>
      <xdr:row>30</xdr:row>
      <xdr:rowOff>4969</xdr:rowOff>
    </xdr:to>
    <xdr:sp macro="" textlink="$O$59">
      <xdr:nvSpPr>
        <xdr:cNvPr id="91" name="object 26">
          <a:extLst>
            <a:ext uri="{FF2B5EF4-FFF2-40B4-BE49-F238E27FC236}">
              <a16:creationId xmlns:a16="http://schemas.microsoft.com/office/drawing/2014/main" id="{4769758D-472E-4E16-9594-E7BFE828F1BC}"/>
            </a:ext>
          </a:extLst>
        </xdr:cNvPr>
        <xdr:cNvSpPr txBox="1"/>
      </xdr:nvSpPr>
      <xdr:spPr>
        <a:xfrm flipH="1">
          <a:off x="909530" y="5639710"/>
          <a:ext cx="1139948" cy="166199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fld id="{E48109CA-D6DC-44A0-B9B6-2C6532FF4AEE}" type="TxLink">
            <a:rPr lang="en-US" sz="1000" b="1" i="0" u="none" strike="noStrike" spc="15" baseline="0">
              <a:solidFill>
                <a:srgbClr val="34523B"/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5"/>
              </a:spcBef>
            </a:pPr>
            <a:t>$ 50,00</a:t>
          </a:fld>
          <a:endParaRPr sz="1000" b="1" baseline="3968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29815</xdr:colOff>
      <xdr:row>27</xdr:row>
      <xdr:rowOff>38935</xdr:rowOff>
    </xdr:from>
    <xdr:to>
      <xdr:col>1</xdr:col>
      <xdr:colOff>105104</xdr:colOff>
      <xdr:row>27</xdr:row>
      <xdr:rowOff>169612</xdr:rowOff>
    </xdr:to>
    <xdr:sp macro="" textlink="">
      <xdr:nvSpPr>
        <xdr:cNvPr id="100" name="object 23">
          <a:extLst>
            <a:ext uri="{FF2B5EF4-FFF2-40B4-BE49-F238E27FC236}">
              <a16:creationId xmlns:a16="http://schemas.microsoft.com/office/drawing/2014/main" id="{105D2F8B-47A6-4A89-9417-A5B71DD7E5B3}"/>
            </a:ext>
          </a:extLst>
        </xdr:cNvPr>
        <xdr:cNvSpPr txBox="1"/>
      </xdr:nvSpPr>
      <xdr:spPr>
        <a:xfrm>
          <a:off x="791815" y="5182435"/>
          <a:ext cx="75289" cy="130677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marR="5080">
            <a:lnSpc>
              <a:spcPct val="115799"/>
            </a:lnSpc>
            <a:spcBef>
              <a:spcPts val="95"/>
            </a:spcBef>
          </a:pPr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136073</xdr:colOff>
      <xdr:row>31</xdr:row>
      <xdr:rowOff>122982</xdr:rowOff>
    </xdr:from>
    <xdr:to>
      <xdr:col>3</xdr:col>
      <xdr:colOff>0</xdr:colOff>
      <xdr:row>32</xdr:row>
      <xdr:rowOff>169841</xdr:rowOff>
    </xdr:to>
    <xdr:sp macro="" textlink="$O$60">
      <xdr:nvSpPr>
        <xdr:cNvPr id="106" name="CuadroTexto 105">
          <a:extLst>
            <a:ext uri="{FF2B5EF4-FFF2-40B4-BE49-F238E27FC236}">
              <a16:creationId xmlns:a16="http://schemas.microsoft.com/office/drawing/2014/main" id="{9236C2E5-781F-4879-9C57-4B9B0991317D}"/>
            </a:ext>
          </a:extLst>
        </xdr:cNvPr>
        <xdr:cNvSpPr txBox="1"/>
      </xdr:nvSpPr>
      <xdr:spPr>
        <a:xfrm>
          <a:off x="895208" y="6117287"/>
          <a:ext cx="1382198" cy="2402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99F3551-FE6D-48C7-BA70-1F6AF0F7DE19}" type="TxLink">
            <a:rPr lang="en-US" sz="1100" b="1" i="0" u="none" strike="noStrike" kern="1200" spc="5">
              <a:solidFill>
                <a:srgbClr val="34523B"/>
              </a:solidFill>
              <a:latin typeface="Trebuchet MS"/>
              <a:ea typeface="Calibri"/>
              <a:cs typeface="Calibri"/>
            </a:rPr>
            <a:pPr algn="l"/>
            <a:t>$ 5.252.500,00</a:t>
          </a:fld>
          <a:endParaRPr lang="es-CO" sz="1100" b="1" u="none" kern="1200" spc="5">
            <a:solidFill>
              <a:srgbClr val="34523B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459427</xdr:colOff>
      <xdr:row>39</xdr:row>
      <xdr:rowOff>80217</xdr:rowOff>
    </xdr:from>
    <xdr:to>
      <xdr:col>2</xdr:col>
      <xdr:colOff>265424</xdr:colOff>
      <xdr:row>40</xdr:row>
      <xdr:rowOff>114812</xdr:rowOff>
    </xdr:to>
    <xdr:sp macro="" textlink="$O$62">
      <xdr:nvSpPr>
        <xdr:cNvPr id="107" name="CuadroTexto 106">
          <a:extLst>
            <a:ext uri="{FF2B5EF4-FFF2-40B4-BE49-F238E27FC236}">
              <a16:creationId xmlns:a16="http://schemas.microsoft.com/office/drawing/2014/main" id="{0648DAF7-62C1-42BF-A6A7-75AA5B7C7D84}"/>
            </a:ext>
          </a:extLst>
        </xdr:cNvPr>
        <xdr:cNvSpPr txBox="1"/>
      </xdr:nvSpPr>
      <xdr:spPr>
        <a:xfrm>
          <a:off x="459427" y="7509717"/>
          <a:ext cx="1329997" cy="22509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042E4-CC9F-406B-89ED-771EB4391DC2}" type="TxLink">
            <a:rPr lang="en-US" sz="750" b="1" i="0" u="none" strike="noStrike">
              <a:solidFill>
                <a:srgbClr val="34523B"/>
              </a:solidFill>
              <a:effectLst/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2023-01</a:t>
          </a:fld>
          <a:endParaRPr lang="es-CO" sz="900" b="1" u="none" kern="1200" spc="5">
            <a:solidFill>
              <a:srgbClr val="34523B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626680</xdr:colOff>
      <xdr:row>40</xdr:row>
      <xdr:rowOff>17078</xdr:rowOff>
    </xdr:from>
    <xdr:to>
      <xdr:col>1</xdr:col>
      <xdr:colOff>645949</xdr:colOff>
      <xdr:row>41</xdr:row>
      <xdr:rowOff>32845</xdr:rowOff>
    </xdr:to>
    <xdr:sp macro="" textlink="$O$63">
      <xdr:nvSpPr>
        <xdr:cNvPr id="108" name="CuadroTexto 107">
          <a:extLst>
            <a:ext uri="{FF2B5EF4-FFF2-40B4-BE49-F238E27FC236}">
              <a16:creationId xmlns:a16="http://schemas.microsoft.com/office/drawing/2014/main" id="{5544EE16-6AF3-4FB3-8CF6-11059FB5E8E9}"/>
            </a:ext>
          </a:extLst>
        </xdr:cNvPr>
        <xdr:cNvSpPr txBox="1"/>
      </xdr:nvSpPr>
      <xdr:spPr>
        <a:xfrm>
          <a:off x="626680" y="7461906"/>
          <a:ext cx="785648" cy="20188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CE83C39-DFB0-4565-BCCA-402A9DE47FEF}" type="TxLink">
            <a:rPr lang="en-US" sz="800" b="1" i="0" u="none" strike="noStrike" kern="1200" spc="10">
              <a:solidFill>
                <a:srgbClr val="34523B"/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FACT_001</a:t>
          </a:fld>
          <a:endParaRPr lang="es-CO">
            <a:solidFill>
              <a:srgbClr val="34523B"/>
            </a:solidFill>
            <a:effectLst/>
          </a:endParaRPr>
        </a:p>
      </xdr:txBody>
    </xdr:sp>
    <xdr:clientData/>
  </xdr:twoCellAnchor>
  <xdr:twoCellAnchor>
    <xdr:from>
      <xdr:col>0</xdr:col>
      <xdr:colOff>484661</xdr:colOff>
      <xdr:row>41</xdr:row>
      <xdr:rowOff>162319</xdr:rowOff>
    </xdr:from>
    <xdr:to>
      <xdr:col>3</xdr:col>
      <xdr:colOff>290220</xdr:colOff>
      <xdr:row>42</xdr:row>
      <xdr:rowOff>176771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B7B9D518-4B47-41C0-9178-780CC5F0A027}"/>
            </a:ext>
          </a:extLst>
        </xdr:cNvPr>
        <xdr:cNvSpPr txBox="1"/>
      </xdr:nvSpPr>
      <xdr:spPr>
        <a:xfrm>
          <a:off x="484661" y="8090270"/>
          <a:ext cx="2082965" cy="2078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38100" indent="0" algn="l" defTabSz="914400" rtl="0" eaLnBrk="1" latinLnBrk="0" hangingPunct="1">
            <a:lnSpc>
              <a:spcPct val="100000"/>
            </a:lnSpc>
            <a:spcBef>
              <a:spcPts val="340"/>
            </a:spcBef>
          </a:pPr>
          <a:r>
            <a:rPr lang="es-CO" sz="800" b="1" kern="1200" spc="15" baseline="0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t>LYCÉE FRANCAIS MEDELLIN SAS</a:t>
          </a:r>
        </a:p>
      </xdr:txBody>
    </xdr:sp>
    <xdr:clientData/>
  </xdr:twoCellAnchor>
  <xdr:twoCellAnchor>
    <xdr:from>
      <xdr:col>0</xdr:col>
      <xdr:colOff>716481</xdr:colOff>
      <xdr:row>40</xdr:row>
      <xdr:rowOff>164224</xdr:rowOff>
    </xdr:from>
    <xdr:to>
      <xdr:col>1</xdr:col>
      <xdr:colOff>540433</xdr:colOff>
      <xdr:row>42</xdr:row>
      <xdr:rowOff>19708</xdr:rowOff>
    </xdr:to>
    <xdr:sp macro="" textlink="$O$64">
      <xdr:nvSpPr>
        <xdr:cNvPr id="110" name="CuadroTexto 109">
          <a:extLst>
            <a:ext uri="{FF2B5EF4-FFF2-40B4-BE49-F238E27FC236}">
              <a16:creationId xmlns:a16="http://schemas.microsoft.com/office/drawing/2014/main" id="{43DA515E-D019-4A05-8EE9-C35B4033EBC1}"/>
            </a:ext>
          </a:extLst>
        </xdr:cNvPr>
        <xdr:cNvSpPr txBox="1"/>
      </xdr:nvSpPr>
      <xdr:spPr>
        <a:xfrm>
          <a:off x="716481" y="7898810"/>
          <a:ext cx="583087" cy="24221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6A5FFA-8A30-4BB8-A11F-047C856AAE26}" type="TxLink">
            <a:rPr lang="en-US" sz="900" b="1" i="0" u="none" strike="noStrike" kern="1200">
              <a:solidFill>
                <a:srgbClr val="34523B"/>
              </a:solidFill>
              <a:latin typeface="Trebuchet MS"/>
              <a:ea typeface="Calibri"/>
              <a:cs typeface="Calibri"/>
            </a:rPr>
            <a:pPr/>
            <a:t>CONT_001</a:t>
          </a:fld>
          <a:endParaRPr lang="es-CO" sz="900" b="1" kern="1200">
            <a:solidFill>
              <a:srgbClr val="34523B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269920</xdr:colOff>
      <xdr:row>42</xdr:row>
      <xdr:rowOff>137484</xdr:rowOff>
    </xdr:from>
    <xdr:to>
      <xdr:col>1</xdr:col>
      <xdr:colOff>302766</xdr:colOff>
      <xdr:row>44</xdr:row>
      <xdr:rowOff>37636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5BBD6D85-84A3-4112-B762-5DA882A3D277}"/>
            </a:ext>
          </a:extLst>
        </xdr:cNvPr>
        <xdr:cNvSpPr txBox="1"/>
      </xdr:nvSpPr>
      <xdr:spPr>
        <a:xfrm>
          <a:off x="269920" y="8258800"/>
          <a:ext cx="791981" cy="28688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901064820</a:t>
          </a:r>
        </a:p>
      </xdr:txBody>
    </xdr:sp>
    <xdr:clientData/>
  </xdr:twoCellAnchor>
  <xdr:twoCellAnchor>
    <xdr:from>
      <xdr:col>5</xdr:col>
      <xdr:colOff>12673</xdr:colOff>
      <xdr:row>45</xdr:row>
      <xdr:rowOff>59379</xdr:rowOff>
    </xdr:from>
    <xdr:to>
      <xdr:col>8</xdr:col>
      <xdr:colOff>595997</xdr:colOff>
      <xdr:row>46</xdr:row>
      <xdr:rowOff>21485</xdr:rowOff>
    </xdr:to>
    <xdr:sp macro="" textlink="$O$69">
      <xdr:nvSpPr>
        <xdr:cNvPr id="112" name="CuadroTexto 111">
          <a:extLst>
            <a:ext uri="{FF2B5EF4-FFF2-40B4-BE49-F238E27FC236}">
              <a16:creationId xmlns:a16="http://schemas.microsoft.com/office/drawing/2014/main" id="{927E4243-86FB-4EFE-95DF-B7276FB43CC9}"/>
            </a:ext>
          </a:extLst>
        </xdr:cNvPr>
        <xdr:cNvSpPr txBox="1"/>
      </xdr:nvSpPr>
      <xdr:spPr>
        <a:xfrm>
          <a:off x="3808350" y="8760789"/>
          <a:ext cx="2860730" cy="15547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B71B4C-395F-4F4B-A29E-B1821C6E1EC2}" type="TxLink">
            <a:rPr lang="en-US" sz="500" b="1" i="0" u="none" strike="noStrike" kern="1200" baseline="0">
              <a:solidFill>
                <a:schemeClr val="accent6">
                  <a:lumMod val="50000"/>
                </a:schemeClr>
              </a:solidFill>
              <a:latin typeface="Arial"/>
              <a:ea typeface="Calibri"/>
              <a:cs typeface="Arial"/>
            </a:rPr>
            <a:pPr/>
            <a:t>CUFEASDASD4654F65SA1555D</a:t>
          </a:fld>
          <a:endParaRPr lang="es-CO" sz="500" b="1" i="0" u="none" strike="noStrike" kern="1200" baseline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558619</xdr:colOff>
      <xdr:row>45</xdr:row>
      <xdr:rowOff>141890</xdr:rowOff>
    </xdr:from>
    <xdr:to>
      <xdr:col>7</xdr:col>
      <xdr:colOff>103875</xdr:colOff>
      <xdr:row>46</xdr:row>
      <xdr:rowOff>170793</xdr:rowOff>
    </xdr:to>
    <xdr:sp macro="" textlink="$O$70">
      <xdr:nvSpPr>
        <xdr:cNvPr id="113" name="CuadroTexto 112">
          <a:extLst>
            <a:ext uri="{FF2B5EF4-FFF2-40B4-BE49-F238E27FC236}">
              <a16:creationId xmlns:a16="http://schemas.microsoft.com/office/drawing/2014/main" id="{3D99ADC8-1387-442D-87D9-3D1B28AA82D0}"/>
            </a:ext>
          </a:extLst>
        </xdr:cNvPr>
        <xdr:cNvSpPr txBox="1"/>
      </xdr:nvSpPr>
      <xdr:spPr>
        <a:xfrm>
          <a:off x="4354296" y="8843300"/>
          <a:ext cx="1063526" cy="22226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8FE5693-B410-4FBD-8A65-C8EE97FE2AED}" type="TxLink">
            <a:rPr lang="en-US" sz="800" b="1" i="0" u="none" strike="noStrike" kern="1200" spc="15" baseline="5050">
              <a:solidFill>
                <a:srgbClr val="34523B"/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1/01/2023</a:t>
          </a:fld>
          <a:endParaRPr lang="es-CO" sz="800" b="1" kern="1200" spc="15" baseline="5050">
            <a:solidFill>
              <a:srgbClr val="34523B"/>
            </a:solidFill>
            <a:latin typeface="Trebuchet MS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243052</xdr:colOff>
      <xdr:row>31</xdr:row>
      <xdr:rowOff>45983</xdr:rowOff>
    </xdr:from>
    <xdr:to>
      <xdr:col>4</xdr:col>
      <xdr:colOff>315310</xdr:colOff>
      <xdr:row>32</xdr:row>
      <xdr:rowOff>98535</xdr:rowOff>
    </xdr:to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F3592A28-86D4-C13E-084B-80B0132C6DA0}"/>
            </a:ext>
          </a:extLst>
        </xdr:cNvPr>
        <xdr:cNvSpPr txBox="1"/>
      </xdr:nvSpPr>
      <xdr:spPr>
        <a:xfrm>
          <a:off x="2529052" y="5951483"/>
          <a:ext cx="834258" cy="2430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00">
              <a:solidFill>
                <a:schemeClr val="bg1"/>
              </a:solidFill>
              <a:latin typeface="Trebuchet MS" panose="020B0603020202020204" pitchFamily="34" charset="0"/>
            </a:rPr>
            <a:t>Pagar hasta el</a:t>
          </a:r>
        </a:p>
      </xdr:txBody>
    </xdr:sp>
    <xdr:clientData/>
  </xdr:twoCellAnchor>
  <xdr:twoCellAnchor>
    <xdr:from>
      <xdr:col>3</xdr:col>
      <xdr:colOff>114586</xdr:colOff>
      <xdr:row>32</xdr:row>
      <xdr:rowOff>7883</xdr:rowOff>
    </xdr:from>
    <xdr:to>
      <xdr:col>4</xdr:col>
      <xdr:colOff>444023</xdr:colOff>
      <xdr:row>33</xdr:row>
      <xdr:rowOff>32845</xdr:rowOff>
    </xdr:to>
    <xdr:sp macro="" textlink="$O$61">
      <xdr:nvSpPr>
        <xdr:cNvPr id="116" name="CuadroTexto 115">
          <a:extLst>
            <a:ext uri="{FF2B5EF4-FFF2-40B4-BE49-F238E27FC236}">
              <a16:creationId xmlns:a16="http://schemas.microsoft.com/office/drawing/2014/main" id="{8AD2DDDB-D32D-4E6B-9D92-D02DEB534E6D}"/>
            </a:ext>
          </a:extLst>
        </xdr:cNvPr>
        <xdr:cNvSpPr txBox="1"/>
      </xdr:nvSpPr>
      <xdr:spPr>
        <a:xfrm>
          <a:off x="2391992" y="6195552"/>
          <a:ext cx="1088572" cy="21832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9BF08C9-D3D5-4043-8E01-9603CC8987EC}" type="TxLink">
            <a:rPr lang="en-US" sz="800" b="0" i="0" u="none" strike="noStrike">
              <a:solidFill>
                <a:srgbClr val="FFFFFF"/>
              </a:solidFill>
              <a:latin typeface="Trebuchet MS"/>
              <a:ea typeface="Calibri"/>
              <a:cs typeface="Calibri"/>
            </a:rPr>
            <a:pPr algn="ctr"/>
            <a:t>1/02/2023</a:t>
          </a:fld>
          <a:endParaRPr lang="es-CO" sz="800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248479</xdr:colOff>
      <xdr:row>24</xdr:row>
      <xdr:rowOff>149085</xdr:rowOff>
    </xdr:from>
    <xdr:to>
      <xdr:col>3</xdr:col>
      <xdr:colOff>335992</xdr:colOff>
      <xdr:row>27</xdr:row>
      <xdr:rowOff>173935</xdr:rowOff>
    </xdr:to>
    <xdr:sp macro="" textlink="$O$57">
      <xdr:nvSpPr>
        <xdr:cNvPr id="103" name="object 21">
          <a:extLst>
            <a:ext uri="{FF2B5EF4-FFF2-40B4-BE49-F238E27FC236}">
              <a16:creationId xmlns:a16="http://schemas.microsoft.com/office/drawing/2014/main" id="{9955161B-5058-4AE7-8886-7EB98973BF71}"/>
            </a:ext>
          </a:extLst>
        </xdr:cNvPr>
        <xdr:cNvSpPr txBox="1"/>
      </xdr:nvSpPr>
      <xdr:spPr>
        <a:xfrm>
          <a:off x="248479" y="4721085"/>
          <a:ext cx="2373513" cy="596350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F6D5D746-44C1-41EF-B27D-A82FC81C73D7}" type="TxLink">
            <a:rPr lang="en-US" sz="750" b="0" i="0" u="none" strike="noStrike">
              <a:solidFill>
                <a:srgbClr val="34523B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535"/>
              </a:spcBef>
            </a:pPr>
            <a:t>Concepto1</a:t>
          </a:fld>
          <a:endParaRPr sz="750" b="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ón Fernández Patiño" id="{1D8E40E9-670E-4DFD-965E-C3240D44BC65}" userId="S::ramon.fernandez@edemco.co::83ac4bf8-513b-4112-96df-1f04505deeec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7-07T03:26:02.63" personId="{1D8E40E9-670E-4DFD-965E-C3240D44BC65}" id="{BF9AC320-59E0-4DE1-AA1C-9CB6BBF3CCD6}">
    <text>Promedio de generación. Debido a perdida de internet en el sitio del proyecto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FEE9-2854-4E76-85E9-213011E1040C}">
  <sheetPr codeName="Hoja7"/>
  <dimension ref="B3:R19"/>
  <sheetViews>
    <sheetView topLeftCell="A5" workbookViewId="0">
      <pane ySplit="1" topLeftCell="A6" activePane="bottomLeft" state="frozen"/>
      <selection activeCell="A5" sqref="A5"/>
      <selection pane="bottomLeft" activeCell="J11" sqref="J11"/>
    </sheetView>
  </sheetViews>
  <sheetFormatPr baseColWidth="10" defaultColWidth="11.42578125" defaultRowHeight="15" x14ac:dyDescent="0.25"/>
  <cols>
    <col min="2" max="2" width="13.5703125" bestFit="1" customWidth="1"/>
    <col min="6" max="6" width="14.28515625" bestFit="1" customWidth="1"/>
    <col min="7" max="7" width="8.7109375" bestFit="1" customWidth="1"/>
    <col min="8" max="8" width="12.7109375" bestFit="1" customWidth="1"/>
    <col min="9" max="9" width="17.42578125" customWidth="1"/>
    <col min="10" max="10" width="14.28515625" bestFit="1" customWidth="1"/>
    <col min="11" max="11" width="16.28515625" bestFit="1" customWidth="1"/>
    <col min="12" max="12" width="11.140625" bestFit="1" customWidth="1"/>
    <col min="13" max="13" width="15" bestFit="1" customWidth="1"/>
    <col min="16" max="16" width="14.140625" customWidth="1"/>
    <col min="17" max="17" width="13.140625" customWidth="1"/>
    <col min="18" max="18" width="13.140625" bestFit="1" customWidth="1"/>
  </cols>
  <sheetData>
    <row r="3" spans="2:18" x14ac:dyDescent="0.25">
      <c r="C3" s="6">
        <f>AVERAGE(C6:C8)</f>
        <v>4531.9332066666666</v>
      </c>
    </row>
    <row r="5" spans="2:18" ht="30" x14ac:dyDescent="0.25">
      <c r="B5" s="2" t="s">
        <v>33</v>
      </c>
      <c r="C5" s="1" t="s">
        <v>32</v>
      </c>
      <c r="D5" s="2" t="s">
        <v>0</v>
      </c>
      <c r="E5" s="1" t="s">
        <v>1</v>
      </c>
      <c r="F5" s="1" t="s">
        <v>2</v>
      </c>
      <c r="G5" s="1" t="s">
        <v>3</v>
      </c>
      <c r="H5" s="1" t="s">
        <v>4</v>
      </c>
      <c r="I5" s="1" t="s">
        <v>5</v>
      </c>
      <c r="J5" s="1" t="s">
        <v>6</v>
      </c>
      <c r="K5" s="1" t="s">
        <v>7</v>
      </c>
      <c r="L5" s="1" t="s">
        <v>8</v>
      </c>
      <c r="M5" s="1" t="s">
        <v>9</v>
      </c>
    </row>
    <row r="6" spans="2:18" x14ac:dyDescent="0.25">
      <c r="B6" s="26" t="s">
        <v>36</v>
      </c>
      <c r="C6" s="19">
        <v>4927.7999200000004</v>
      </c>
      <c r="D6" s="19"/>
      <c r="E6" s="20">
        <v>614.9</v>
      </c>
      <c r="F6" s="21"/>
      <c r="G6" s="20">
        <v>1009</v>
      </c>
      <c r="H6" s="20"/>
      <c r="I6" s="20"/>
      <c r="J6" s="22">
        <v>1942045.9484720002</v>
      </c>
      <c r="K6" s="22"/>
      <c r="L6" s="23"/>
      <c r="M6" s="23"/>
    </row>
    <row r="7" spans="2:18" x14ac:dyDescent="0.25">
      <c r="B7" s="26">
        <v>45346</v>
      </c>
      <c r="C7" s="19">
        <v>4312.0996999999998</v>
      </c>
      <c r="D7" s="19"/>
      <c r="E7" s="20">
        <v>614.9</v>
      </c>
      <c r="F7" s="21"/>
      <c r="G7" s="20">
        <v>974.72</v>
      </c>
      <c r="H7" s="20"/>
      <c r="I7" s="20"/>
      <c r="J7" s="22">
        <v>1551579.7140540001</v>
      </c>
      <c r="K7" s="22"/>
      <c r="L7" s="23"/>
      <c r="M7" s="23"/>
    </row>
    <row r="8" spans="2:18" x14ac:dyDescent="0.25">
      <c r="B8" s="26">
        <v>45375</v>
      </c>
      <c r="C8" s="19">
        <v>4355.8999999999996</v>
      </c>
      <c r="D8" s="19"/>
      <c r="E8" s="20">
        <v>614.9</v>
      </c>
      <c r="F8" s="21"/>
      <c r="G8" s="20">
        <v>990.84</v>
      </c>
      <c r="H8" s="20"/>
      <c r="I8" s="20"/>
      <c r="J8" s="22">
        <v>1637557.0460000001</v>
      </c>
      <c r="K8" s="22"/>
      <c r="L8" s="23"/>
      <c r="M8" s="23"/>
    </row>
    <row r="9" spans="2:18" x14ac:dyDescent="0.25">
      <c r="B9" s="26" t="s">
        <v>37</v>
      </c>
      <c r="C9" s="24">
        <v>3954.9002099999998</v>
      </c>
      <c r="D9" s="24"/>
      <c r="E9" s="20">
        <v>614.9</v>
      </c>
      <c r="F9" s="21"/>
      <c r="G9" s="20">
        <v>1009.04</v>
      </c>
      <c r="H9" s="20"/>
      <c r="I9" s="20"/>
      <c r="J9" s="22">
        <v>1558784.3687693998</v>
      </c>
      <c r="K9" s="22"/>
      <c r="L9" s="25"/>
      <c r="M9" s="25"/>
    </row>
    <row r="10" spans="2:18" x14ac:dyDescent="0.25">
      <c r="B10" s="26">
        <v>45436</v>
      </c>
      <c r="C10" s="24">
        <v>3854.6999900000001</v>
      </c>
      <c r="D10" s="24"/>
      <c r="E10" s="20">
        <v>614.9</v>
      </c>
      <c r="F10" s="21"/>
      <c r="G10" s="20">
        <v>1062.3599999999999</v>
      </c>
      <c r="H10" s="20"/>
      <c r="I10" s="20"/>
      <c r="J10" s="22">
        <v>1724824.0575253998</v>
      </c>
      <c r="K10" s="22"/>
      <c r="L10" s="25"/>
      <c r="M10" s="25"/>
    </row>
    <row r="11" spans="2:18" x14ac:dyDescent="0.25">
      <c r="B11" s="26">
        <v>45467</v>
      </c>
      <c r="C11" s="24">
        <v>4069.3001399999998</v>
      </c>
      <c r="D11" s="24"/>
      <c r="E11" s="20">
        <v>614.9</v>
      </c>
      <c r="F11" s="21"/>
      <c r="G11" s="20">
        <v>941.82</v>
      </c>
      <c r="H11" s="20"/>
      <c r="I11" s="20"/>
      <c r="J11" s="22">
        <v>1330335.6017688003</v>
      </c>
      <c r="K11" s="22"/>
      <c r="L11" s="25"/>
      <c r="M11" s="25"/>
    </row>
    <row r="12" spans="2:18" x14ac:dyDescent="0.25">
      <c r="C12" s="6"/>
      <c r="J12" s="3"/>
      <c r="P12" s="7" t="s">
        <v>10</v>
      </c>
      <c r="Q12" s="7" t="s">
        <v>11</v>
      </c>
      <c r="R12" s="7" t="s">
        <v>12</v>
      </c>
    </row>
    <row r="13" spans="2:18" x14ac:dyDescent="0.25">
      <c r="F13" s="8"/>
      <c r="O13" s="27" t="str">
        <f>B6</f>
        <v>Ene-24</v>
      </c>
      <c r="P13" s="28">
        <f>G6</f>
        <v>1009</v>
      </c>
      <c r="Q13" s="20">
        <f>E6</f>
        <v>614.9</v>
      </c>
      <c r="R13" s="28">
        <f>J6</f>
        <v>1942045.9484720002</v>
      </c>
    </row>
    <row r="14" spans="2:18" x14ac:dyDescent="0.25">
      <c r="O14" s="27">
        <f t="shared" ref="O14:O18" si="0">B7</f>
        <v>45346</v>
      </c>
      <c r="P14" s="28">
        <f t="shared" ref="P14:P18" si="1">G7</f>
        <v>974.72</v>
      </c>
      <c r="Q14" s="20">
        <f t="shared" ref="Q14:Q18" si="2">E7</f>
        <v>614.9</v>
      </c>
      <c r="R14" s="28">
        <f t="shared" ref="R14:R18" si="3">J7</f>
        <v>1551579.7140540001</v>
      </c>
    </row>
    <row r="15" spans="2:18" x14ac:dyDescent="0.25">
      <c r="O15" s="27">
        <f t="shared" si="0"/>
        <v>45375</v>
      </c>
      <c r="P15" s="28">
        <f t="shared" si="1"/>
        <v>990.84</v>
      </c>
      <c r="Q15" s="20">
        <f t="shared" si="2"/>
        <v>614.9</v>
      </c>
      <c r="R15" s="28">
        <f t="shared" si="3"/>
        <v>1637557.0460000001</v>
      </c>
    </row>
    <row r="16" spans="2:18" x14ac:dyDescent="0.25">
      <c r="O16" s="27" t="str">
        <f t="shared" si="0"/>
        <v>Abr-24</v>
      </c>
      <c r="P16" s="28">
        <f t="shared" si="1"/>
        <v>1009.04</v>
      </c>
      <c r="Q16" s="20">
        <f t="shared" si="2"/>
        <v>614.9</v>
      </c>
      <c r="R16" s="28">
        <f t="shared" si="3"/>
        <v>1558784.3687693998</v>
      </c>
    </row>
    <row r="17" spans="5:18" x14ac:dyDescent="0.25">
      <c r="E17" s="4"/>
      <c r="O17" s="27">
        <f t="shared" si="0"/>
        <v>45436</v>
      </c>
      <c r="P17" s="28">
        <f t="shared" si="1"/>
        <v>1062.3599999999999</v>
      </c>
      <c r="Q17" s="20">
        <f t="shared" si="2"/>
        <v>614.9</v>
      </c>
      <c r="R17" s="28">
        <f t="shared" si="3"/>
        <v>1724824.0575253998</v>
      </c>
    </row>
    <row r="18" spans="5:18" x14ac:dyDescent="0.25">
      <c r="O18" s="27">
        <f t="shared" si="0"/>
        <v>45467</v>
      </c>
      <c r="P18" s="28">
        <f t="shared" si="1"/>
        <v>941.82</v>
      </c>
      <c r="Q18" s="20">
        <f t="shared" si="2"/>
        <v>614.9</v>
      </c>
      <c r="R18" s="28">
        <f t="shared" si="3"/>
        <v>1330335.6017688003</v>
      </c>
    </row>
    <row r="19" spans="5:18" x14ac:dyDescent="0.25">
      <c r="E19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0DEF4-208F-4799-9163-FF6A583C6D37}">
  <sheetPr codeName="Hoja12">
    <pageSetUpPr fitToPage="1"/>
  </sheetPr>
  <dimension ref="L52:O70"/>
  <sheetViews>
    <sheetView tabSelected="1" topLeftCell="A25" zoomScale="133" zoomScaleNormal="133" zoomScaleSheetLayoutView="100" workbookViewId="0">
      <selection activeCell="K63" sqref="K63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2" max="12" width="20.85546875" bestFit="1" customWidth="1"/>
    <col min="14" max="14" width="18.42578125" bestFit="1" customWidth="1"/>
    <col min="15" max="15" width="53.5703125" customWidth="1"/>
  </cols>
  <sheetData>
    <row r="52" spans="12:15" ht="15.75" x14ac:dyDescent="0.3">
      <c r="L52" s="5" t="s">
        <v>34</v>
      </c>
      <c r="M52">
        <v>1</v>
      </c>
      <c r="N52" s="10" t="s">
        <v>13</v>
      </c>
      <c r="O52" s="11">
        <v>44927</v>
      </c>
    </row>
    <row r="53" spans="12:15" ht="15.75" x14ac:dyDescent="0.3">
      <c r="M53">
        <v>2</v>
      </c>
      <c r="N53" s="10" t="s">
        <v>14</v>
      </c>
      <c r="O53" s="11">
        <v>44957</v>
      </c>
    </row>
    <row r="54" spans="12:15" ht="15.75" x14ac:dyDescent="0.3">
      <c r="M54">
        <v>3</v>
      </c>
      <c r="N54" s="9" t="s">
        <v>15</v>
      </c>
      <c r="O54" s="16">
        <v>30</v>
      </c>
    </row>
    <row r="55" spans="12:15" ht="18" x14ac:dyDescent="0.35">
      <c r="M55">
        <v>4</v>
      </c>
      <c r="N55" s="10" t="s">
        <v>16</v>
      </c>
      <c r="O55" s="33">
        <v>100</v>
      </c>
    </row>
    <row r="56" spans="12:15" ht="18" x14ac:dyDescent="0.35">
      <c r="M56">
        <v>5</v>
      </c>
      <c r="N56" s="9" t="s">
        <v>17</v>
      </c>
      <c r="O56" s="33">
        <v>1000</v>
      </c>
    </row>
    <row r="57" spans="12:15" x14ac:dyDescent="0.25">
      <c r="M57">
        <v>6</v>
      </c>
      <c r="N57" s="9" t="s">
        <v>18</v>
      </c>
      <c r="O57" t="s">
        <v>38</v>
      </c>
    </row>
    <row r="58" spans="12:15" x14ac:dyDescent="0.25">
      <c r="M58">
        <v>7</v>
      </c>
      <c r="N58" s="9" t="s">
        <v>19</v>
      </c>
      <c r="O58" s="31">
        <v>10246</v>
      </c>
    </row>
    <row r="59" spans="12:15" x14ac:dyDescent="0.25">
      <c r="M59">
        <v>8</v>
      </c>
      <c r="N59" s="9" t="s">
        <v>20</v>
      </c>
      <c r="O59" s="30">
        <v>50</v>
      </c>
    </row>
    <row r="60" spans="12:15" ht="18" x14ac:dyDescent="0.35">
      <c r="M60">
        <v>9</v>
      </c>
      <c r="N60" s="9" t="s">
        <v>21</v>
      </c>
      <c r="O60" s="29">
        <v>5252500</v>
      </c>
    </row>
    <row r="61" spans="12:15" ht="15.75" x14ac:dyDescent="0.3">
      <c r="M61">
        <v>10</v>
      </c>
      <c r="N61" s="9" t="s">
        <v>22</v>
      </c>
      <c r="O61" s="17">
        <v>44958</v>
      </c>
    </row>
    <row r="62" spans="12:15" x14ac:dyDescent="0.25">
      <c r="M62">
        <v>11</v>
      </c>
      <c r="N62" s="9" t="s">
        <v>23</v>
      </c>
      <c r="O62" s="12" t="s">
        <v>39</v>
      </c>
    </row>
    <row r="63" spans="12:15" ht="15.75" x14ac:dyDescent="0.3">
      <c r="M63">
        <v>12</v>
      </c>
      <c r="N63" s="10" t="s">
        <v>24</v>
      </c>
      <c r="O63" s="14" t="s">
        <v>40</v>
      </c>
    </row>
    <row r="64" spans="12:15" ht="16.5" x14ac:dyDescent="0.35">
      <c r="M64">
        <v>13</v>
      </c>
      <c r="N64" s="10" t="s">
        <v>25</v>
      </c>
      <c r="O64" s="13" t="s">
        <v>41</v>
      </c>
    </row>
    <row r="65" spans="13:15" ht="18" x14ac:dyDescent="0.35">
      <c r="M65">
        <v>14</v>
      </c>
      <c r="N65" s="10" t="s">
        <v>26</v>
      </c>
      <c r="O65" s="34">
        <v>5</v>
      </c>
    </row>
    <row r="66" spans="13:15" ht="18" x14ac:dyDescent="0.35">
      <c r="M66">
        <v>15</v>
      </c>
      <c r="N66" s="9" t="s">
        <v>27</v>
      </c>
      <c r="O66" s="34">
        <v>50</v>
      </c>
    </row>
    <row r="67" spans="13:15" ht="18" x14ac:dyDescent="0.35">
      <c r="M67">
        <v>16</v>
      </c>
      <c r="N67" s="10" t="s">
        <v>28</v>
      </c>
      <c r="O67" s="32">
        <v>1000</v>
      </c>
    </row>
    <row r="68" spans="13:15" ht="18" x14ac:dyDescent="0.35">
      <c r="M68">
        <v>17</v>
      </c>
      <c r="N68" s="9" t="s">
        <v>29</v>
      </c>
      <c r="O68" s="32">
        <v>1500</v>
      </c>
    </row>
    <row r="69" spans="13:15" x14ac:dyDescent="0.25">
      <c r="M69">
        <v>18</v>
      </c>
      <c r="N69" s="10" t="s">
        <v>30</v>
      </c>
      <c r="O69" s="18" t="s">
        <v>35</v>
      </c>
    </row>
    <row r="70" spans="13:15" ht="15.75" x14ac:dyDescent="0.3">
      <c r="M70">
        <v>19</v>
      </c>
      <c r="N70" s="10" t="s">
        <v>31</v>
      </c>
      <c r="O70" s="15">
        <v>44927</v>
      </c>
    </row>
  </sheetData>
  <pageMargins left="0.23622047244094488" right="7.874015748031496E-2" top="0.39370078740157483" bottom="0.39370078740157483" header="0.19685039370078741" footer="0.11811023622047244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56EA12-9D37-4009-A23D-41BC2243E912}">
  <ds:schemaRefs>
    <ds:schemaRef ds:uri="e7313b36-24db-4a5b-8b27-fbf44eda5fe8"/>
    <ds:schemaRef ds:uri="http://purl.org/dc/elements/1.1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28637a7-893d-428e-af8a-e5bc0dc76cd8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LICEOFRANCESSFV_GRAPHICS</vt:lpstr>
      <vt:lpstr>LICEOFRANCESSFV</vt:lpstr>
      <vt:lpstr>LICEOFRANCESSFV!Print_Area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2024-08-09T14:21:06Z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